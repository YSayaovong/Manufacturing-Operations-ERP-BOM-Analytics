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5CF5D16B-121A-47CA-80E7-866B216ED4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M_Error_Data" sheetId="1" r:id="rId1"/>
    <sheet name="Revision_Change_Log" sheetId="2" r:id="rId2"/>
    <sheet name="KPI_Summary" sheetId="3" r:id="rId3"/>
    <sheet name="Pivot_Error_Type" sheetId="4" r:id="rId4"/>
    <sheet name="Pivot_Stage" sheetId="5" r:id="rId5"/>
    <sheet name="Pivot_Monthly_Trend" sheetId="6" r:id="rId6"/>
    <sheet name="Calc_Tables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B5" i="8"/>
  <c r="A5" i="8"/>
  <c r="B4" i="8"/>
  <c r="A4" i="8"/>
  <c r="D27" i="7"/>
  <c r="D26" i="7"/>
  <c r="D25" i="7"/>
  <c r="D24" i="7"/>
  <c r="D23" i="7"/>
  <c r="D22" i="7"/>
  <c r="B15" i="7"/>
  <c r="B14" i="7"/>
  <c r="E13" i="7"/>
  <c r="B13" i="7"/>
  <c r="E12" i="7"/>
  <c r="B12" i="7"/>
  <c r="E11" i="7"/>
  <c r="E5" i="8" s="1"/>
  <c r="B11" i="7"/>
  <c r="E4" i="8" s="1"/>
  <c r="B6" i="7"/>
  <c r="B7" i="8" s="1"/>
  <c r="B5" i="7"/>
  <c r="B6" i="8" s="1"/>
  <c r="B4" i="7"/>
  <c r="E6" i="8" s="1"/>
  <c r="B3" i="7"/>
</calcChain>
</file>

<file path=xl/sharedStrings.xml><?xml version="1.0" encoding="utf-8"?>
<sst xmlns="http://schemas.openxmlformats.org/spreadsheetml/2006/main" count="1277" uniqueCount="293">
  <si>
    <t>Date</t>
  </si>
  <si>
    <t>Unit_ID</t>
  </si>
  <si>
    <t>Error_Type</t>
  </si>
  <si>
    <t>Stage_Detected</t>
  </si>
  <si>
    <t>Department_Origin</t>
  </si>
  <si>
    <t>Time_to_Resolve_Hours</t>
  </si>
  <si>
    <t>Rework_Required</t>
  </si>
  <si>
    <t>Estimated_Impact_Cost_USD</t>
  </si>
  <si>
    <t>WT071003</t>
  </si>
  <si>
    <t>Incorrect Metadata</t>
  </si>
  <si>
    <t>Pre-Release Review</t>
  </si>
  <si>
    <t>Manufacturing</t>
  </si>
  <si>
    <t>No</t>
  </si>
  <si>
    <t>WT071050</t>
  </si>
  <si>
    <t>Wrong Revision</t>
  </si>
  <si>
    <t>Manufacturing Review</t>
  </si>
  <si>
    <t>Yes</t>
  </si>
  <si>
    <t>WT071004</t>
  </si>
  <si>
    <t>Hierarchy Issue</t>
  </si>
  <si>
    <t>SAP Load</t>
  </si>
  <si>
    <t>Procurement</t>
  </si>
  <si>
    <t>WT071071</t>
  </si>
  <si>
    <t>Engineering</t>
  </si>
  <si>
    <t>WT071001</t>
  </si>
  <si>
    <t>WT071069</t>
  </si>
  <si>
    <t>WT071011</t>
  </si>
  <si>
    <t>Duplicate Part</t>
  </si>
  <si>
    <t>WT071019</t>
  </si>
  <si>
    <t>Missing Part</t>
  </si>
  <si>
    <t>WT071077</t>
  </si>
  <si>
    <t>WT071081</t>
  </si>
  <si>
    <t>WT071087</t>
  </si>
  <si>
    <t>WT071031</t>
  </si>
  <si>
    <t>WT071048</t>
  </si>
  <si>
    <t>WT071005</t>
  </si>
  <si>
    <t>WT071072</t>
  </si>
  <si>
    <t>WT071061</t>
  </si>
  <si>
    <t>WT071037</t>
  </si>
  <si>
    <t>WT071079</t>
  </si>
  <si>
    <t>WT071055</t>
  </si>
  <si>
    <t>WT071070</t>
  </si>
  <si>
    <t>WT071043</t>
  </si>
  <si>
    <t>WT071078</t>
  </si>
  <si>
    <t>WT071040</t>
  </si>
  <si>
    <t>WT071054</t>
  </si>
  <si>
    <t>WT071039</t>
  </si>
  <si>
    <t>WT071033</t>
  </si>
  <si>
    <t>WT071066</t>
  </si>
  <si>
    <t>WT071026</t>
  </si>
  <si>
    <t>WT071049</t>
  </si>
  <si>
    <t>WT071047</t>
  </si>
  <si>
    <t>WT071022</t>
  </si>
  <si>
    <t>WT071085</t>
  </si>
  <si>
    <t>WT071099</t>
  </si>
  <si>
    <t>WT071090</t>
  </si>
  <si>
    <t>WT071027</t>
  </si>
  <si>
    <t>WT071029</t>
  </si>
  <si>
    <t>WT071092</t>
  </si>
  <si>
    <t>WT071096</t>
  </si>
  <si>
    <t>WT071032</t>
  </si>
  <si>
    <t>WT071076</t>
  </si>
  <si>
    <t>WT071012</t>
  </si>
  <si>
    <t>WT071006</t>
  </si>
  <si>
    <t>WT071000</t>
  </si>
  <si>
    <t>WT071075</t>
  </si>
  <si>
    <t>WT071023</t>
  </si>
  <si>
    <t>WT071093</t>
  </si>
  <si>
    <t>WT071017</t>
  </si>
  <si>
    <t>WT071028</t>
  </si>
  <si>
    <t>WT071013</t>
  </si>
  <si>
    <t>WT071030</t>
  </si>
  <si>
    <t>WT071025</t>
  </si>
  <si>
    <t>WT071073</t>
  </si>
  <si>
    <t>WT071007</t>
  </si>
  <si>
    <t>WT071089</t>
  </si>
  <si>
    <t>WT071059</t>
  </si>
  <si>
    <t>WT071074</t>
  </si>
  <si>
    <t>WT071082</t>
  </si>
  <si>
    <t>WT071015</t>
  </si>
  <si>
    <t>WT071051</t>
  </si>
  <si>
    <t>WT071010</t>
  </si>
  <si>
    <t>WT071056</t>
  </si>
  <si>
    <t>WT071035</t>
  </si>
  <si>
    <t>WT071044</t>
  </si>
  <si>
    <t>WT071068</t>
  </si>
  <si>
    <t>WT071024</t>
  </si>
  <si>
    <t>WT071084</t>
  </si>
  <si>
    <t>WT071014</t>
  </si>
  <si>
    <t>Part_Number</t>
  </si>
  <si>
    <t>Old_Revision</t>
  </si>
  <si>
    <t>New_Revision</t>
  </si>
  <si>
    <t>Change_Reason</t>
  </si>
  <si>
    <t>WT071157</t>
  </si>
  <si>
    <t>PN-10902</t>
  </si>
  <si>
    <t>A</t>
  </si>
  <si>
    <t>C</t>
  </si>
  <si>
    <t>Design Update</t>
  </si>
  <si>
    <t>WT071146</t>
  </si>
  <si>
    <t>PN-18070</t>
  </si>
  <si>
    <t>WT071159</t>
  </si>
  <si>
    <t>PN-14618</t>
  </si>
  <si>
    <t>D</t>
  </si>
  <si>
    <t>Vendor Change</t>
  </si>
  <si>
    <t>WT071116</t>
  </si>
  <si>
    <t>PN-11239</t>
  </si>
  <si>
    <t>Error Correction</t>
  </si>
  <si>
    <t>WT071144</t>
  </si>
  <si>
    <t>PN-10227</t>
  </si>
  <si>
    <t>B</t>
  </si>
  <si>
    <t>PN-15713</t>
  </si>
  <si>
    <t>WT071106</t>
  </si>
  <si>
    <t>PN-12940</t>
  </si>
  <si>
    <t>WT071172</t>
  </si>
  <si>
    <t>PN-16151</t>
  </si>
  <si>
    <t>WT071169</t>
  </si>
  <si>
    <t>PN-10374</t>
  </si>
  <si>
    <t>WT071194</t>
  </si>
  <si>
    <t>PN-16834</t>
  </si>
  <si>
    <t>WT071180</t>
  </si>
  <si>
    <t>PN-13391</t>
  </si>
  <si>
    <t>WT071102</t>
  </si>
  <si>
    <t>PN-12357</t>
  </si>
  <si>
    <t>Standardization</t>
  </si>
  <si>
    <t>WT071117</t>
  </si>
  <si>
    <t>PN-10235</t>
  </si>
  <si>
    <t>WT071131</t>
  </si>
  <si>
    <t>PN-15802</t>
  </si>
  <si>
    <t>WT071151</t>
  </si>
  <si>
    <t>PN-16255</t>
  </si>
  <si>
    <t>WT071167</t>
  </si>
  <si>
    <t>PN-18880</t>
  </si>
  <si>
    <t>WT071139</t>
  </si>
  <si>
    <t>PN-14330</t>
  </si>
  <si>
    <t>WT071119</t>
  </si>
  <si>
    <t>PN-13717</t>
  </si>
  <si>
    <t>WT071126</t>
  </si>
  <si>
    <t>PN-17941</t>
  </si>
  <si>
    <t>WT071120</t>
  </si>
  <si>
    <t>PN-18034</t>
  </si>
  <si>
    <t>WT071165</t>
  </si>
  <si>
    <t>PN-17261</t>
  </si>
  <si>
    <t>PN-18368</t>
  </si>
  <si>
    <t>PN-14113</t>
  </si>
  <si>
    <t>WT071193</t>
  </si>
  <si>
    <t>PN-10308</t>
  </si>
  <si>
    <t>WT071177</t>
  </si>
  <si>
    <t>PN-17416</t>
  </si>
  <si>
    <t>PN-17465</t>
  </si>
  <si>
    <t>WT071190</t>
  </si>
  <si>
    <t>PN-13205</t>
  </si>
  <si>
    <t>WT071148</t>
  </si>
  <si>
    <t>PN-14771</t>
  </si>
  <si>
    <t>WT071161</t>
  </si>
  <si>
    <t>PN-11879</t>
  </si>
  <si>
    <t>WT071152</t>
  </si>
  <si>
    <t>PN-11119</t>
  </si>
  <si>
    <t>PN-10407</t>
  </si>
  <si>
    <t>WT071127</t>
  </si>
  <si>
    <t>PN-10519</t>
  </si>
  <si>
    <t>WT071136</t>
  </si>
  <si>
    <t>PN-15298</t>
  </si>
  <si>
    <t>PN-19771</t>
  </si>
  <si>
    <t>WT071185</t>
  </si>
  <si>
    <t>PN-18697</t>
  </si>
  <si>
    <t>WT071198</t>
  </si>
  <si>
    <t>PN-14421</t>
  </si>
  <si>
    <t>PN-18080</t>
  </si>
  <si>
    <t>WT071175</t>
  </si>
  <si>
    <t>PN-11688</t>
  </si>
  <si>
    <t>WT071163</t>
  </si>
  <si>
    <t>PN-15016</t>
  </si>
  <si>
    <t>WT071105</t>
  </si>
  <si>
    <t>PN-17635</t>
  </si>
  <si>
    <t>PN-16680</t>
  </si>
  <si>
    <t>PN-19177</t>
  </si>
  <si>
    <t>PN-15125</t>
  </si>
  <si>
    <t>WT071176</t>
  </si>
  <si>
    <t>PN-13871</t>
  </si>
  <si>
    <t>PN-17504</t>
  </si>
  <si>
    <t>WT071111</t>
  </si>
  <si>
    <t>PN-16148</t>
  </si>
  <si>
    <t>WT071108</t>
  </si>
  <si>
    <t>PN-15216</t>
  </si>
  <si>
    <t>WT071173</t>
  </si>
  <si>
    <t>PN-16988</t>
  </si>
  <si>
    <t>WT071171</t>
  </si>
  <si>
    <t>PN-18810</t>
  </si>
  <si>
    <t>WT071192</t>
  </si>
  <si>
    <t>PN-17927</t>
  </si>
  <si>
    <t>WT071143</t>
  </si>
  <si>
    <t>PN-17402</t>
  </si>
  <si>
    <t>WT071122</t>
  </si>
  <si>
    <t>PN-11431</t>
  </si>
  <si>
    <t>WT071145</t>
  </si>
  <si>
    <t>PN-17295</t>
  </si>
  <si>
    <t>PN-18030</t>
  </si>
  <si>
    <t>PN-14834</t>
  </si>
  <si>
    <t>WT071113</t>
  </si>
  <si>
    <t>PN-18415</t>
  </si>
  <si>
    <t>PN-10084</t>
  </si>
  <si>
    <t>WT071103</t>
  </si>
  <si>
    <t>PN-14321</t>
  </si>
  <si>
    <t>WT071109</t>
  </si>
  <si>
    <t>PN-13521</t>
  </si>
  <si>
    <t>PN-12501</t>
  </si>
  <si>
    <t>PN-18454</t>
  </si>
  <si>
    <t>WT071124</t>
  </si>
  <si>
    <t>PN-13390</t>
  </si>
  <si>
    <t>PN-12542</t>
  </si>
  <si>
    <t>PN-13888</t>
  </si>
  <si>
    <t>PN-19119</t>
  </si>
  <si>
    <t>WT071138</t>
  </si>
  <si>
    <t>PN-15551</t>
  </si>
  <si>
    <t>WT071137</t>
  </si>
  <si>
    <t>PN-16591</t>
  </si>
  <si>
    <t>WT071164</t>
  </si>
  <si>
    <t>PN-18149</t>
  </si>
  <si>
    <t>WT071156</t>
  </si>
  <si>
    <t>PN-19954</t>
  </si>
  <si>
    <t>PN-18872</t>
  </si>
  <si>
    <t>WT071114</t>
  </si>
  <si>
    <t>PN-13161</t>
  </si>
  <si>
    <t>PN-11192</t>
  </si>
  <si>
    <t>WT071182</t>
  </si>
  <si>
    <t>PN-14850</t>
  </si>
  <si>
    <t>WT071104</t>
  </si>
  <si>
    <t>PN-14994</t>
  </si>
  <si>
    <t>PN-14313</t>
  </si>
  <si>
    <t>WT071197</t>
  </si>
  <si>
    <t>PN-11283</t>
  </si>
  <si>
    <t>PN-16320</t>
  </si>
  <si>
    <t>PN-13259</t>
  </si>
  <si>
    <t>PN-13761</t>
  </si>
  <si>
    <t>WT071135</t>
  </si>
  <si>
    <t>PN-17331</t>
  </si>
  <si>
    <t>PN-15508</t>
  </si>
  <si>
    <t>WT071125</t>
  </si>
  <si>
    <t>PN-11760</t>
  </si>
  <si>
    <t>PN-16824</t>
  </si>
  <si>
    <t>WT071140</t>
  </si>
  <si>
    <t>PN-15333</t>
  </si>
  <si>
    <t>WT071123</t>
  </si>
  <si>
    <t>PN-16345</t>
  </si>
  <si>
    <t>PN-16817</t>
  </si>
  <si>
    <t>WT071153</t>
  </si>
  <si>
    <t>PN-11673</t>
  </si>
  <si>
    <t>PN-19306</t>
  </si>
  <si>
    <t>PN-13492</t>
  </si>
  <si>
    <t>WT071134</t>
  </si>
  <si>
    <t>PN-12820</t>
  </si>
  <si>
    <t>PN-14075</t>
  </si>
  <si>
    <t>PN-14715</t>
  </si>
  <si>
    <t>PN-18939</t>
  </si>
  <si>
    <t>PN-10337</t>
  </si>
  <si>
    <t>WT071179</t>
  </si>
  <si>
    <t>PN-10445</t>
  </si>
  <si>
    <t>PN-15687</t>
  </si>
  <si>
    <t>PN-14949</t>
  </si>
  <si>
    <t>PN-14736</t>
  </si>
  <si>
    <t>WT071142</t>
  </si>
  <si>
    <t>PN-16200</t>
  </si>
  <si>
    <t>Metric</t>
  </si>
  <si>
    <t>Value</t>
  </si>
  <si>
    <t>Total BOM Errors</t>
  </si>
  <si>
    <t>Rework Rate (%)</t>
  </si>
  <si>
    <t>Average Resolution Time (hrs)</t>
  </si>
  <si>
    <t>Total Estimated Cost Impact ($)</t>
  </si>
  <si>
    <t>Error_Count</t>
  </si>
  <si>
    <t>Month</t>
  </si>
  <si>
    <t>2025-01</t>
  </si>
  <si>
    <t>2025-02</t>
  </si>
  <si>
    <t>2025-03</t>
  </si>
  <si>
    <t>2025-04</t>
  </si>
  <si>
    <t>2025-05</t>
  </si>
  <si>
    <t>2025-06</t>
  </si>
  <si>
    <t>KPI Summary (formula-driven)</t>
  </si>
  <si>
    <t>Errors by Type</t>
  </si>
  <si>
    <t>Count</t>
  </si>
  <si>
    <t>Monthly Error Trend</t>
  </si>
  <si>
    <t>Start</t>
  </si>
  <si>
    <t>End</t>
  </si>
  <si>
    <t>Jan 2025</t>
  </si>
  <si>
    <t>Feb 2025</t>
  </si>
  <si>
    <t>Mar 2025</t>
  </si>
  <si>
    <t>Apr 2025</t>
  </si>
  <si>
    <t>May 2025</t>
  </si>
  <si>
    <t>Jun 2025</t>
  </si>
  <si>
    <t>Engineering ERP Data Validation Dashboard (Simulated)</t>
  </si>
  <si>
    <t>KPI</t>
  </si>
  <si>
    <t>Insights (auto)</t>
  </si>
  <si>
    <t>Top Error Type:</t>
  </si>
  <si>
    <t>Top Detection Stage:</t>
  </si>
  <si>
    <t>Rework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</si>
</sst>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\ hh:mm:ss"/>
    <numFmt numFmtId="165" formatCode="\$#,##0"/>
    <numFmt numFmtId="167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67" fontId="0" fillId="0" borderId="0" xfId="0" applyNumberFormat="1"/>
    <xf numFmtId="0" fontId="1" fillId="0" borderId="0" xfId="0" applyFon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BOM Error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Calc_Tables!$D$21</c:f>
              <c:strCache>
                <c:ptCount val="1"/>
                <c:pt idx="0">
                  <c:v>Error_Count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Calc_Tables!$A$22:$A$27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Calc_Tables!$D$22:$D$27</c:f>
              <c:numCache>
                <c:formatCode>General</c:formatCode>
                <c:ptCount val="6"/>
                <c:pt idx="0">
                  <c:v>23</c:v>
                </c:pt>
                <c:pt idx="1">
                  <c:v>13</c:v>
                </c:pt>
                <c:pt idx="2">
                  <c:v>33</c:v>
                </c:pt>
                <c:pt idx="3">
                  <c:v>12</c:v>
                </c:pt>
                <c:pt idx="4">
                  <c:v>23</c:v>
                </c:pt>
                <c:pt idx="5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4E-40BA-89F5-60B1482BF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Errors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Calc_Tables!$B$10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Calc_Tables!$A$11:$A$15</c:f>
              <c:strCache>
                <c:ptCount val="5"/>
                <c:pt idx="0">
                  <c:v>Duplicate Part</c:v>
                </c:pt>
                <c:pt idx="1">
                  <c:v>Hierarchy Issue</c:v>
                </c:pt>
                <c:pt idx="2">
                  <c:v>Incorrect Metadata</c:v>
                </c:pt>
                <c:pt idx="3">
                  <c:v>Missing Part</c:v>
                </c:pt>
                <c:pt idx="4">
                  <c:v>Wrong Revision</c:v>
                </c:pt>
              </c:strCache>
            </c:strRef>
          </c:cat>
          <c:val>
            <c:numRef>
              <c:f>Calc_Tables!$B$11:$B$15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25</c:v>
                </c:pt>
                <c:pt idx="3">
                  <c:v>19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E-4F6B-A6F4-8D1430808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Errors by Detection Stage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Calc_Tables!$E$10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Calc_Tables!$D$11:$D$13</c:f>
              <c:strCache>
                <c:ptCount val="3"/>
                <c:pt idx="0">
                  <c:v>Manufacturing Review</c:v>
                </c:pt>
                <c:pt idx="1">
                  <c:v>Pre-Release Review</c:v>
                </c:pt>
                <c:pt idx="2">
                  <c:v>SAP Load</c:v>
                </c:pt>
              </c:strCache>
            </c:strRef>
          </c:cat>
          <c:val>
            <c:numRef>
              <c:f>Calc_Tables!$E$11:$E$13</c:f>
              <c:numCache>
                <c:formatCode>General</c:formatCode>
                <c:ptCount val="3"/>
                <c:pt idx="0">
                  <c:v>33</c:v>
                </c:pt>
                <c:pt idx="1">
                  <c:v>47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5-40B9-819B-DDB5DE9A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26</xdr:row>
      <xdr:rowOff>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showGridLines="0" tabSelected="1" topLeftCell="A97" workbookViewId="0">
      <selection activeCell="J9" sqref="J9"/>
    </sheetView>
  </sheetViews>
  <sheetFormatPr defaultRowHeight="15" x14ac:dyDescent="0.25"/>
  <cols>
    <col min="1" max="1" width="18.28515625" bestFit="1" customWidth="1"/>
    <col min="2" max="2" width="9.85546875" bestFit="1" customWidth="1"/>
    <col min="3" max="3" width="18" bestFit="1" customWidth="1"/>
    <col min="4" max="4" width="21.140625" bestFit="1" customWidth="1"/>
    <col min="5" max="5" width="18.42578125" bestFit="1" customWidth="1"/>
    <col min="6" max="6" width="22.85546875" bestFit="1" customWidth="1"/>
    <col min="7" max="7" width="17" bestFit="1" customWidth="1"/>
    <col min="8" max="8" width="27" style="1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</row>
    <row r="2" spans="1:8" x14ac:dyDescent="0.25">
      <c r="A2" s="2">
        <v>45684</v>
      </c>
      <c r="B2" t="s">
        <v>8</v>
      </c>
      <c r="C2" t="s">
        <v>9</v>
      </c>
      <c r="D2" t="s">
        <v>10</v>
      </c>
      <c r="E2" t="s">
        <v>11</v>
      </c>
      <c r="F2">
        <v>1.8</v>
      </c>
      <c r="G2" t="s">
        <v>12</v>
      </c>
      <c r="H2" s="13">
        <v>0</v>
      </c>
    </row>
    <row r="3" spans="1:8" x14ac:dyDescent="0.25">
      <c r="A3" s="2">
        <v>45776</v>
      </c>
      <c r="B3" t="s">
        <v>13</v>
      </c>
      <c r="C3" t="s">
        <v>14</v>
      </c>
      <c r="D3" t="s">
        <v>15</v>
      </c>
      <c r="E3" t="s">
        <v>11</v>
      </c>
      <c r="F3">
        <v>1.07</v>
      </c>
      <c r="G3" t="s">
        <v>16</v>
      </c>
      <c r="H3" s="13">
        <v>4049.59</v>
      </c>
    </row>
    <row r="4" spans="1:8" x14ac:dyDescent="0.25">
      <c r="A4" s="2">
        <v>45675</v>
      </c>
      <c r="B4" t="s">
        <v>17</v>
      </c>
      <c r="C4" t="s">
        <v>18</v>
      </c>
      <c r="D4" t="s">
        <v>19</v>
      </c>
      <c r="E4" t="s">
        <v>20</v>
      </c>
      <c r="F4">
        <v>4.3499999999999996</v>
      </c>
      <c r="G4" t="s">
        <v>12</v>
      </c>
      <c r="H4" s="13">
        <v>0</v>
      </c>
    </row>
    <row r="5" spans="1:8" x14ac:dyDescent="0.25">
      <c r="A5" s="2">
        <v>45723</v>
      </c>
      <c r="B5" t="s">
        <v>21</v>
      </c>
      <c r="C5" t="s">
        <v>14</v>
      </c>
      <c r="D5" t="s">
        <v>19</v>
      </c>
      <c r="E5" t="s">
        <v>22</v>
      </c>
      <c r="F5">
        <v>2.56</v>
      </c>
      <c r="G5" t="s">
        <v>16</v>
      </c>
      <c r="H5" s="13">
        <v>1747.02</v>
      </c>
    </row>
    <row r="6" spans="1:8" x14ac:dyDescent="0.25">
      <c r="A6" s="2">
        <v>45781</v>
      </c>
      <c r="B6" t="s">
        <v>23</v>
      </c>
      <c r="C6" t="s">
        <v>14</v>
      </c>
      <c r="D6" t="s">
        <v>15</v>
      </c>
      <c r="E6" t="s">
        <v>11</v>
      </c>
      <c r="F6">
        <v>2.27</v>
      </c>
      <c r="G6" t="s">
        <v>12</v>
      </c>
      <c r="H6" s="13">
        <v>0</v>
      </c>
    </row>
    <row r="7" spans="1:8" x14ac:dyDescent="0.25">
      <c r="A7" s="2">
        <v>45735</v>
      </c>
      <c r="B7" t="s">
        <v>24</v>
      </c>
      <c r="C7" t="s">
        <v>18</v>
      </c>
      <c r="D7" t="s">
        <v>19</v>
      </c>
      <c r="E7" t="s">
        <v>20</v>
      </c>
      <c r="F7">
        <v>4.1399999999999997</v>
      </c>
      <c r="G7" t="s">
        <v>16</v>
      </c>
      <c r="H7" s="13">
        <v>4282.6499999999996</v>
      </c>
    </row>
    <row r="8" spans="1:8" x14ac:dyDescent="0.25">
      <c r="A8" s="2">
        <v>45837</v>
      </c>
      <c r="B8" t="s">
        <v>25</v>
      </c>
      <c r="C8" t="s">
        <v>26</v>
      </c>
      <c r="D8" t="s">
        <v>10</v>
      </c>
      <c r="E8" t="s">
        <v>20</v>
      </c>
      <c r="F8">
        <v>0.71</v>
      </c>
      <c r="G8" t="s">
        <v>12</v>
      </c>
      <c r="H8" s="13">
        <v>0</v>
      </c>
    </row>
    <row r="9" spans="1:8" x14ac:dyDescent="0.25">
      <c r="A9" s="2">
        <v>45801</v>
      </c>
      <c r="B9" t="s">
        <v>24</v>
      </c>
      <c r="C9" t="s">
        <v>14</v>
      </c>
      <c r="D9" t="s">
        <v>19</v>
      </c>
      <c r="E9" t="s">
        <v>20</v>
      </c>
      <c r="F9">
        <v>5.05</v>
      </c>
      <c r="G9" t="s">
        <v>16</v>
      </c>
      <c r="H9" s="13">
        <v>819.44</v>
      </c>
    </row>
    <row r="10" spans="1:8" x14ac:dyDescent="0.25">
      <c r="A10" s="2">
        <v>45729</v>
      </c>
      <c r="B10" t="s">
        <v>27</v>
      </c>
      <c r="C10" t="s">
        <v>28</v>
      </c>
      <c r="D10" t="s">
        <v>19</v>
      </c>
      <c r="E10" t="s">
        <v>20</v>
      </c>
      <c r="F10">
        <v>5.64</v>
      </c>
      <c r="G10" t="s">
        <v>12</v>
      </c>
      <c r="H10" s="13">
        <v>0</v>
      </c>
    </row>
    <row r="11" spans="1:8" x14ac:dyDescent="0.25">
      <c r="A11" s="2">
        <v>45773</v>
      </c>
      <c r="B11" t="s">
        <v>29</v>
      </c>
      <c r="C11" t="s">
        <v>9</v>
      </c>
      <c r="D11" t="s">
        <v>19</v>
      </c>
      <c r="E11" t="s">
        <v>11</v>
      </c>
      <c r="F11">
        <v>5.36</v>
      </c>
      <c r="G11" t="s">
        <v>12</v>
      </c>
      <c r="H11" s="13">
        <v>0</v>
      </c>
    </row>
    <row r="12" spans="1:8" x14ac:dyDescent="0.25">
      <c r="A12" s="2">
        <v>45758</v>
      </c>
      <c r="B12" t="s">
        <v>30</v>
      </c>
      <c r="C12" t="s">
        <v>18</v>
      </c>
      <c r="D12" t="s">
        <v>19</v>
      </c>
      <c r="E12" t="s">
        <v>22</v>
      </c>
      <c r="F12">
        <v>3.54</v>
      </c>
      <c r="G12" t="s">
        <v>12</v>
      </c>
      <c r="H12" s="13">
        <v>0</v>
      </c>
    </row>
    <row r="13" spans="1:8" x14ac:dyDescent="0.25">
      <c r="A13" s="2">
        <v>45806</v>
      </c>
      <c r="B13" t="s">
        <v>31</v>
      </c>
      <c r="C13" t="s">
        <v>14</v>
      </c>
      <c r="D13" t="s">
        <v>15</v>
      </c>
      <c r="E13" t="s">
        <v>20</v>
      </c>
      <c r="F13">
        <v>5.74</v>
      </c>
      <c r="G13" t="s">
        <v>12</v>
      </c>
      <c r="H13" s="13">
        <v>0</v>
      </c>
    </row>
    <row r="14" spans="1:8" x14ac:dyDescent="0.25">
      <c r="A14" s="2">
        <v>45783</v>
      </c>
      <c r="B14" t="s">
        <v>32</v>
      </c>
      <c r="C14" t="s">
        <v>9</v>
      </c>
      <c r="D14" t="s">
        <v>15</v>
      </c>
      <c r="E14" t="s">
        <v>22</v>
      </c>
      <c r="F14">
        <v>1.45</v>
      </c>
      <c r="G14" t="s">
        <v>16</v>
      </c>
      <c r="H14" s="13">
        <v>2590.3000000000002</v>
      </c>
    </row>
    <row r="15" spans="1:8" x14ac:dyDescent="0.25">
      <c r="A15" s="2">
        <v>45673</v>
      </c>
      <c r="B15" t="s">
        <v>33</v>
      </c>
      <c r="C15" t="s">
        <v>14</v>
      </c>
      <c r="D15" t="s">
        <v>19</v>
      </c>
      <c r="E15" t="s">
        <v>11</v>
      </c>
      <c r="F15">
        <v>1.67</v>
      </c>
      <c r="G15" t="s">
        <v>16</v>
      </c>
      <c r="H15" s="13">
        <v>1861.08</v>
      </c>
    </row>
    <row r="16" spans="1:8" x14ac:dyDescent="0.25">
      <c r="A16" s="2">
        <v>45813</v>
      </c>
      <c r="B16" t="s">
        <v>34</v>
      </c>
      <c r="C16" t="s">
        <v>9</v>
      </c>
      <c r="D16" t="s">
        <v>10</v>
      </c>
      <c r="E16" t="s">
        <v>11</v>
      </c>
      <c r="F16">
        <v>0.92</v>
      </c>
      <c r="G16" t="s">
        <v>12</v>
      </c>
      <c r="H16" s="13">
        <v>0</v>
      </c>
    </row>
    <row r="17" spans="1:8" x14ac:dyDescent="0.25">
      <c r="A17" s="2">
        <v>45828</v>
      </c>
      <c r="B17" t="s">
        <v>35</v>
      </c>
      <c r="C17" t="s">
        <v>18</v>
      </c>
      <c r="D17" t="s">
        <v>15</v>
      </c>
      <c r="E17" t="s">
        <v>11</v>
      </c>
      <c r="F17">
        <v>2.65</v>
      </c>
      <c r="G17" t="s">
        <v>12</v>
      </c>
      <c r="H17" s="13">
        <v>0</v>
      </c>
    </row>
    <row r="18" spans="1:8" x14ac:dyDescent="0.25">
      <c r="A18" s="2">
        <v>45663</v>
      </c>
      <c r="B18" t="s">
        <v>24</v>
      </c>
      <c r="C18" t="s">
        <v>14</v>
      </c>
      <c r="D18" t="s">
        <v>19</v>
      </c>
      <c r="E18" t="s">
        <v>11</v>
      </c>
      <c r="F18">
        <v>2.5299999999999998</v>
      </c>
      <c r="G18" t="s">
        <v>12</v>
      </c>
      <c r="H18" s="13">
        <v>0</v>
      </c>
    </row>
    <row r="19" spans="1:8" x14ac:dyDescent="0.25">
      <c r="A19" s="2">
        <v>45838</v>
      </c>
      <c r="B19" t="s">
        <v>36</v>
      </c>
      <c r="C19" t="s">
        <v>14</v>
      </c>
      <c r="D19" t="s">
        <v>19</v>
      </c>
      <c r="E19" t="s">
        <v>11</v>
      </c>
      <c r="F19">
        <v>2.4500000000000002</v>
      </c>
      <c r="G19" t="s">
        <v>12</v>
      </c>
      <c r="H19" s="13">
        <v>0</v>
      </c>
    </row>
    <row r="20" spans="1:8" x14ac:dyDescent="0.25">
      <c r="A20" s="2">
        <v>45834</v>
      </c>
      <c r="B20" t="s">
        <v>36</v>
      </c>
      <c r="C20" t="s">
        <v>14</v>
      </c>
      <c r="D20" t="s">
        <v>10</v>
      </c>
      <c r="E20" t="s">
        <v>20</v>
      </c>
      <c r="F20">
        <v>3.09</v>
      </c>
      <c r="G20" t="s">
        <v>12</v>
      </c>
      <c r="H20" s="13">
        <v>0</v>
      </c>
    </row>
    <row r="21" spans="1:8" x14ac:dyDescent="0.25">
      <c r="A21" s="2">
        <v>45820</v>
      </c>
      <c r="B21" t="s">
        <v>8</v>
      </c>
      <c r="C21" t="s">
        <v>14</v>
      </c>
      <c r="D21" t="s">
        <v>15</v>
      </c>
      <c r="E21" t="s">
        <v>22</v>
      </c>
      <c r="F21">
        <v>2.14</v>
      </c>
      <c r="G21" t="s">
        <v>16</v>
      </c>
      <c r="H21" s="13">
        <v>3673.85</v>
      </c>
    </row>
    <row r="22" spans="1:8" x14ac:dyDescent="0.25">
      <c r="A22" s="2">
        <v>45672</v>
      </c>
      <c r="B22" t="s">
        <v>37</v>
      </c>
      <c r="C22" t="s">
        <v>18</v>
      </c>
      <c r="D22" t="s">
        <v>10</v>
      </c>
      <c r="E22" t="s">
        <v>11</v>
      </c>
      <c r="F22">
        <v>1.74</v>
      </c>
      <c r="G22" t="s">
        <v>12</v>
      </c>
      <c r="H22" s="13">
        <v>0</v>
      </c>
    </row>
    <row r="23" spans="1:8" x14ac:dyDescent="0.25">
      <c r="A23" s="2">
        <v>45833</v>
      </c>
      <c r="B23" t="s">
        <v>38</v>
      </c>
      <c r="C23" t="s">
        <v>26</v>
      </c>
      <c r="D23" t="s">
        <v>19</v>
      </c>
      <c r="E23" t="s">
        <v>11</v>
      </c>
      <c r="F23">
        <v>5.15</v>
      </c>
      <c r="G23" t="s">
        <v>16</v>
      </c>
      <c r="H23" s="13">
        <v>761.32</v>
      </c>
    </row>
    <row r="24" spans="1:8" x14ac:dyDescent="0.25">
      <c r="A24" s="2">
        <v>45795</v>
      </c>
      <c r="B24" t="s">
        <v>39</v>
      </c>
      <c r="C24" t="s">
        <v>14</v>
      </c>
      <c r="D24" t="s">
        <v>15</v>
      </c>
      <c r="E24" t="s">
        <v>20</v>
      </c>
      <c r="F24">
        <v>2.95</v>
      </c>
      <c r="G24" t="s">
        <v>16</v>
      </c>
      <c r="H24" s="13">
        <v>3856.74</v>
      </c>
    </row>
    <row r="25" spans="1:8" x14ac:dyDescent="0.25">
      <c r="A25" s="2">
        <v>45731</v>
      </c>
      <c r="B25" t="s">
        <v>40</v>
      </c>
      <c r="C25" t="s">
        <v>9</v>
      </c>
      <c r="D25" t="s">
        <v>10</v>
      </c>
      <c r="E25" t="s">
        <v>22</v>
      </c>
      <c r="F25">
        <v>5.32</v>
      </c>
      <c r="G25" t="s">
        <v>16</v>
      </c>
      <c r="H25" s="13">
        <v>3208.81</v>
      </c>
    </row>
    <row r="26" spans="1:8" x14ac:dyDescent="0.25">
      <c r="A26" s="2">
        <v>45738</v>
      </c>
      <c r="B26" t="s">
        <v>41</v>
      </c>
      <c r="C26" t="s">
        <v>28</v>
      </c>
      <c r="D26" t="s">
        <v>10</v>
      </c>
      <c r="E26" t="s">
        <v>20</v>
      </c>
      <c r="F26">
        <v>4.93</v>
      </c>
      <c r="G26" t="s">
        <v>16</v>
      </c>
      <c r="H26" s="13">
        <v>772.76</v>
      </c>
    </row>
    <row r="27" spans="1:8" x14ac:dyDescent="0.25">
      <c r="A27" s="2">
        <v>45686</v>
      </c>
      <c r="B27" t="s">
        <v>24</v>
      </c>
      <c r="C27" t="s">
        <v>28</v>
      </c>
      <c r="D27" t="s">
        <v>19</v>
      </c>
      <c r="E27" t="s">
        <v>22</v>
      </c>
      <c r="F27">
        <v>3.35</v>
      </c>
      <c r="G27" t="s">
        <v>12</v>
      </c>
      <c r="H27" s="13">
        <v>0</v>
      </c>
    </row>
    <row r="28" spans="1:8" x14ac:dyDescent="0.25">
      <c r="A28" s="2">
        <v>45743</v>
      </c>
      <c r="B28" t="s">
        <v>17</v>
      </c>
      <c r="C28" t="s">
        <v>9</v>
      </c>
      <c r="D28" t="s">
        <v>19</v>
      </c>
      <c r="E28" t="s">
        <v>22</v>
      </c>
      <c r="F28">
        <v>2.65</v>
      </c>
      <c r="G28" t="s">
        <v>16</v>
      </c>
      <c r="H28" s="13">
        <v>1149.5899999999999</v>
      </c>
    </row>
    <row r="29" spans="1:8" x14ac:dyDescent="0.25">
      <c r="A29" s="2">
        <v>45810</v>
      </c>
      <c r="B29" t="s">
        <v>42</v>
      </c>
      <c r="C29" t="s">
        <v>14</v>
      </c>
      <c r="D29" t="s">
        <v>19</v>
      </c>
      <c r="E29" t="s">
        <v>20</v>
      </c>
      <c r="F29">
        <v>2.09</v>
      </c>
      <c r="G29" t="s">
        <v>16</v>
      </c>
      <c r="H29" s="13">
        <v>1658.25</v>
      </c>
    </row>
    <row r="30" spans="1:8" x14ac:dyDescent="0.25">
      <c r="A30" s="2">
        <v>45677</v>
      </c>
      <c r="B30" t="s">
        <v>38</v>
      </c>
      <c r="C30" t="s">
        <v>14</v>
      </c>
      <c r="D30" t="s">
        <v>10</v>
      </c>
      <c r="E30" t="s">
        <v>11</v>
      </c>
      <c r="F30">
        <v>1.42</v>
      </c>
      <c r="G30" t="s">
        <v>12</v>
      </c>
      <c r="H30" s="13">
        <v>0</v>
      </c>
    </row>
    <row r="31" spans="1:8" x14ac:dyDescent="0.25">
      <c r="A31" s="2">
        <v>45659</v>
      </c>
      <c r="B31" t="s">
        <v>43</v>
      </c>
      <c r="C31" t="s">
        <v>18</v>
      </c>
      <c r="D31" t="s">
        <v>10</v>
      </c>
      <c r="E31" t="s">
        <v>20</v>
      </c>
      <c r="F31">
        <v>5.71</v>
      </c>
      <c r="G31" t="s">
        <v>16</v>
      </c>
      <c r="H31" s="13">
        <v>4302.3599999999997</v>
      </c>
    </row>
    <row r="32" spans="1:8" x14ac:dyDescent="0.25">
      <c r="A32" s="2">
        <v>45696</v>
      </c>
      <c r="B32" t="s">
        <v>44</v>
      </c>
      <c r="C32" t="s">
        <v>14</v>
      </c>
      <c r="D32" t="s">
        <v>10</v>
      </c>
      <c r="E32" t="s">
        <v>22</v>
      </c>
      <c r="F32">
        <v>1.79</v>
      </c>
      <c r="G32" t="s">
        <v>16</v>
      </c>
      <c r="H32" s="13">
        <v>604.55999999999995</v>
      </c>
    </row>
    <row r="33" spans="1:8" x14ac:dyDescent="0.25">
      <c r="A33" s="2">
        <v>45739</v>
      </c>
      <c r="B33" t="s">
        <v>45</v>
      </c>
      <c r="C33" t="s">
        <v>26</v>
      </c>
      <c r="D33" t="s">
        <v>19</v>
      </c>
      <c r="E33" t="s">
        <v>22</v>
      </c>
      <c r="F33">
        <v>3.2</v>
      </c>
      <c r="G33" t="s">
        <v>16</v>
      </c>
      <c r="H33" s="13">
        <v>651.82000000000005</v>
      </c>
    </row>
    <row r="34" spans="1:8" x14ac:dyDescent="0.25">
      <c r="A34" s="2">
        <v>45822</v>
      </c>
      <c r="B34" t="s">
        <v>46</v>
      </c>
      <c r="C34" t="s">
        <v>14</v>
      </c>
      <c r="D34" t="s">
        <v>19</v>
      </c>
      <c r="E34" t="s">
        <v>11</v>
      </c>
      <c r="F34">
        <v>0.69</v>
      </c>
      <c r="G34" t="s">
        <v>12</v>
      </c>
      <c r="H34" s="13">
        <v>0</v>
      </c>
    </row>
    <row r="35" spans="1:8" x14ac:dyDescent="0.25">
      <c r="A35" s="2">
        <v>45696</v>
      </c>
      <c r="B35" t="s">
        <v>47</v>
      </c>
      <c r="C35" t="s">
        <v>28</v>
      </c>
      <c r="D35" t="s">
        <v>15</v>
      </c>
      <c r="E35" t="s">
        <v>22</v>
      </c>
      <c r="F35">
        <v>5.83</v>
      </c>
      <c r="G35" t="s">
        <v>16</v>
      </c>
      <c r="H35" s="13">
        <v>912.18</v>
      </c>
    </row>
    <row r="36" spans="1:8" x14ac:dyDescent="0.25">
      <c r="A36" s="2">
        <v>45675</v>
      </c>
      <c r="B36" t="s">
        <v>48</v>
      </c>
      <c r="C36" t="s">
        <v>9</v>
      </c>
      <c r="D36" t="s">
        <v>15</v>
      </c>
      <c r="E36" t="s">
        <v>22</v>
      </c>
      <c r="F36">
        <v>3.67</v>
      </c>
      <c r="G36" t="s">
        <v>12</v>
      </c>
      <c r="H36" s="13">
        <v>0</v>
      </c>
    </row>
    <row r="37" spans="1:8" x14ac:dyDescent="0.25">
      <c r="A37" s="2">
        <v>45729</v>
      </c>
      <c r="B37" t="s">
        <v>49</v>
      </c>
      <c r="C37" t="s">
        <v>18</v>
      </c>
      <c r="D37" t="s">
        <v>15</v>
      </c>
      <c r="E37" t="s">
        <v>22</v>
      </c>
      <c r="F37">
        <v>1.84</v>
      </c>
      <c r="G37" t="s">
        <v>16</v>
      </c>
      <c r="H37" s="13">
        <v>3051.86</v>
      </c>
    </row>
    <row r="38" spans="1:8" x14ac:dyDescent="0.25">
      <c r="A38" s="2">
        <v>45737</v>
      </c>
      <c r="B38" t="s">
        <v>50</v>
      </c>
      <c r="C38" t="s">
        <v>14</v>
      </c>
      <c r="D38" t="s">
        <v>10</v>
      </c>
      <c r="E38" t="s">
        <v>11</v>
      </c>
      <c r="F38">
        <v>2.76</v>
      </c>
      <c r="G38" t="s">
        <v>16</v>
      </c>
      <c r="H38" s="13">
        <v>3641.01</v>
      </c>
    </row>
    <row r="39" spans="1:8" x14ac:dyDescent="0.25">
      <c r="A39" s="2">
        <v>45748</v>
      </c>
      <c r="B39" t="s">
        <v>27</v>
      </c>
      <c r="C39" t="s">
        <v>14</v>
      </c>
      <c r="D39" t="s">
        <v>15</v>
      </c>
      <c r="E39" t="s">
        <v>20</v>
      </c>
      <c r="F39">
        <v>1.0900000000000001</v>
      </c>
      <c r="G39" t="s">
        <v>12</v>
      </c>
      <c r="H39" s="13">
        <v>0</v>
      </c>
    </row>
    <row r="40" spans="1:8" x14ac:dyDescent="0.25">
      <c r="A40" s="2">
        <v>45677</v>
      </c>
      <c r="B40" t="s">
        <v>51</v>
      </c>
      <c r="C40" t="s">
        <v>28</v>
      </c>
      <c r="D40" t="s">
        <v>19</v>
      </c>
      <c r="E40" t="s">
        <v>20</v>
      </c>
      <c r="F40">
        <v>1.83</v>
      </c>
      <c r="G40" t="s">
        <v>12</v>
      </c>
      <c r="H40" s="13">
        <v>0</v>
      </c>
    </row>
    <row r="41" spans="1:8" x14ac:dyDescent="0.25">
      <c r="A41" s="2">
        <v>45734</v>
      </c>
      <c r="B41" t="s">
        <v>29</v>
      </c>
      <c r="C41" t="s">
        <v>28</v>
      </c>
      <c r="D41" t="s">
        <v>15</v>
      </c>
      <c r="E41" t="s">
        <v>22</v>
      </c>
      <c r="F41">
        <v>2.87</v>
      </c>
      <c r="G41" t="s">
        <v>12</v>
      </c>
      <c r="H41" s="13">
        <v>0</v>
      </c>
    </row>
    <row r="42" spans="1:8" x14ac:dyDescent="0.25">
      <c r="A42" s="2">
        <v>45808</v>
      </c>
      <c r="B42" t="s">
        <v>52</v>
      </c>
      <c r="C42" t="s">
        <v>18</v>
      </c>
      <c r="D42" t="s">
        <v>10</v>
      </c>
      <c r="E42" t="s">
        <v>22</v>
      </c>
      <c r="F42">
        <v>3.03</v>
      </c>
      <c r="G42" t="s">
        <v>16</v>
      </c>
      <c r="H42" s="13">
        <v>4112.18</v>
      </c>
    </row>
    <row r="43" spans="1:8" x14ac:dyDescent="0.25">
      <c r="A43" s="2">
        <v>45664</v>
      </c>
      <c r="B43" t="s">
        <v>53</v>
      </c>
      <c r="C43" t="s">
        <v>18</v>
      </c>
      <c r="D43" t="s">
        <v>10</v>
      </c>
      <c r="E43" t="s">
        <v>11</v>
      </c>
      <c r="F43">
        <v>0.98</v>
      </c>
      <c r="G43" t="s">
        <v>12</v>
      </c>
      <c r="H43" s="13">
        <v>0</v>
      </c>
    </row>
    <row r="44" spans="1:8" x14ac:dyDescent="0.25">
      <c r="A44" s="2">
        <v>45831</v>
      </c>
      <c r="B44" t="s">
        <v>38</v>
      </c>
      <c r="C44" t="s">
        <v>14</v>
      </c>
      <c r="D44" t="s">
        <v>19</v>
      </c>
      <c r="E44" t="s">
        <v>22</v>
      </c>
      <c r="F44">
        <v>2.91</v>
      </c>
      <c r="G44" t="s">
        <v>16</v>
      </c>
      <c r="H44" s="13">
        <v>445.91</v>
      </c>
    </row>
    <row r="45" spans="1:8" x14ac:dyDescent="0.25">
      <c r="A45" s="2">
        <v>45806</v>
      </c>
      <c r="B45" t="s">
        <v>29</v>
      </c>
      <c r="C45" t="s">
        <v>28</v>
      </c>
      <c r="D45" t="s">
        <v>10</v>
      </c>
      <c r="E45" t="s">
        <v>20</v>
      </c>
      <c r="F45">
        <v>1.95</v>
      </c>
      <c r="G45" t="s">
        <v>12</v>
      </c>
      <c r="H45" s="13">
        <v>0</v>
      </c>
    </row>
    <row r="46" spans="1:8" x14ac:dyDescent="0.25">
      <c r="A46" s="2">
        <v>45799</v>
      </c>
      <c r="B46" t="s">
        <v>54</v>
      </c>
      <c r="C46" t="s">
        <v>18</v>
      </c>
      <c r="D46" t="s">
        <v>10</v>
      </c>
      <c r="E46" t="s">
        <v>11</v>
      </c>
      <c r="F46">
        <v>2.0499999999999998</v>
      </c>
      <c r="G46" t="s">
        <v>16</v>
      </c>
      <c r="H46" s="13">
        <v>2686.49</v>
      </c>
    </row>
    <row r="47" spans="1:8" x14ac:dyDescent="0.25">
      <c r="A47" s="2">
        <v>45723</v>
      </c>
      <c r="B47" t="s">
        <v>55</v>
      </c>
      <c r="C47" t="s">
        <v>14</v>
      </c>
      <c r="D47" t="s">
        <v>19</v>
      </c>
      <c r="E47" t="s">
        <v>20</v>
      </c>
      <c r="F47">
        <v>5.65</v>
      </c>
      <c r="G47" t="s">
        <v>16</v>
      </c>
      <c r="H47" s="13">
        <v>3015.02</v>
      </c>
    </row>
    <row r="48" spans="1:8" x14ac:dyDescent="0.25">
      <c r="A48" s="2">
        <v>45721</v>
      </c>
      <c r="B48" t="s">
        <v>56</v>
      </c>
      <c r="C48" t="s">
        <v>26</v>
      </c>
      <c r="D48" t="s">
        <v>10</v>
      </c>
      <c r="E48" t="s">
        <v>22</v>
      </c>
      <c r="F48">
        <v>1.7</v>
      </c>
      <c r="G48" t="s">
        <v>12</v>
      </c>
      <c r="H48" s="13">
        <v>0</v>
      </c>
    </row>
    <row r="49" spans="1:8" x14ac:dyDescent="0.25">
      <c r="A49" s="2">
        <v>45829</v>
      </c>
      <c r="B49" t="s">
        <v>57</v>
      </c>
      <c r="C49" t="s">
        <v>9</v>
      </c>
      <c r="D49" t="s">
        <v>10</v>
      </c>
      <c r="E49" t="s">
        <v>11</v>
      </c>
      <c r="F49">
        <v>1.36</v>
      </c>
      <c r="G49" t="s">
        <v>16</v>
      </c>
      <c r="H49" s="13">
        <v>766.83</v>
      </c>
    </row>
    <row r="50" spans="1:8" x14ac:dyDescent="0.25">
      <c r="A50" s="2">
        <v>45661</v>
      </c>
      <c r="B50" t="s">
        <v>40</v>
      </c>
      <c r="C50" t="s">
        <v>18</v>
      </c>
      <c r="D50" t="s">
        <v>15</v>
      </c>
      <c r="E50" t="s">
        <v>22</v>
      </c>
      <c r="F50">
        <v>3.34</v>
      </c>
      <c r="G50" t="s">
        <v>16</v>
      </c>
      <c r="H50" s="13">
        <v>740.69</v>
      </c>
    </row>
    <row r="51" spans="1:8" x14ac:dyDescent="0.25">
      <c r="A51" s="2">
        <v>45712</v>
      </c>
      <c r="B51" t="s">
        <v>58</v>
      </c>
      <c r="C51" t="s">
        <v>18</v>
      </c>
      <c r="D51" t="s">
        <v>10</v>
      </c>
      <c r="E51" t="s">
        <v>11</v>
      </c>
      <c r="F51">
        <v>2.0099999999999998</v>
      </c>
      <c r="G51" t="s">
        <v>16</v>
      </c>
      <c r="H51" s="13">
        <v>2592.83</v>
      </c>
    </row>
    <row r="52" spans="1:8" x14ac:dyDescent="0.25">
      <c r="A52" s="2">
        <v>45771</v>
      </c>
      <c r="B52" t="s">
        <v>27</v>
      </c>
      <c r="C52" t="s">
        <v>26</v>
      </c>
      <c r="D52" t="s">
        <v>15</v>
      </c>
      <c r="E52" t="s">
        <v>11</v>
      </c>
      <c r="F52">
        <v>4.0199999999999996</v>
      </c>
      <c r="G52" t="s">
        <v>16</v>
      </c>
      <c r="H52" s="13">
        <v>3198.98</v>
      </c>
    </row>
    <row r="53" spans="1:8" x14ac:dyDescent="0.25">
      <c r="A53" s="2">
        <v>45741</v>
      </c>
      <c r="B53" t="s">
        <v>59</v>
      </c>
      <c r="C53" t="s">
        <v>26</v>
      </c>
      <c r="D53" t="s">
        <v>15</v>
      </c>
      <c r="E53" t="s">
        <v>20</v>
      </c>
      <c r="F53">
        <v>3.9</v>
      </c>
      <c r="G53" t="s">
        <v>12</v>
      </c>
      <c r="H53" s="13">
        <v>0</v>
      </c>
    </row>
    <row r="54" spans="1:8" x14ac:dyDescent="0.25">
      <c r="A54" s="2">
        <v>45753</v>
      </c>
      <c r="B54" t="s">
        <v>60</v>
      </c>
      <c r="C54" t="s">
        <v>26</v>
      </c>
      <c r="D54" t="s">
        <v>15</v>
      </c>
      <c r="E54" t="s">
        <v>22</v>
      </c>
      <c r="F54">
        <v>1.74</v>
      </c>
      <c r="G54" t="s">
        <v>12</v>
      </c>
      <c r="H54" s="13">
        <v>0</v>
      </c>
    </row>
    <row r="55" spans="1:8" x14ac:dyDescent="0.25">
      <c r="A55" s="2">
        <v>45794</v>
      </c>
      <c r="B55" t="s">
        <v>61</v>
      </c>
      <c r="C55" t="s">
        <v>26</v>
      </c>
      <c r="D55" t="s">
        <v>15</v>
      </c>
      <c r="E55" t="s">
        <v>20</v>
      </c>
      <c r="F55">
        <v>5.5</v>
      </c>
      <c r="G55" t="s">
        <v>16</v>
      </c>
      <c r="H55" s="13">
        <v>4182.8500000000004</v>
      </c>
    </row>
    <row r="56" spans="1:8" x14ac:dyDescent="0.25">
      <c r="A56" s="2">
        <v>45756</v>
      </c>
      <c r="B56" t="s">
        <v>30</v>
      </c>
      <c r="C56" t="s">
        <v>26</v>
      </c>
      <c r="D56" t="s">
        <v>15</v>
      </c>
      <c r="E56" t="s">
        <v>20</v>
      </c>
      <c r="F56">
        <v>5.34</v>
      </c>
      <c r="G56" t="s">
        <v>12</v>
      </c>
      <c r="H56" s="13">
        <v>0</v>
      </c>
    </row>
    <row r="57" spans="1:8" x14ac:dyDescent="0.25">
      <c r="A57" s="2">
        <v>45719</v>
      </c>
      <c r="B57" t="s">
        <v>24</v>
      </c>
      <c r="C57" t="s">
        <v>9</v>
      </c>
      <c r="D57" t="s">
        <v>19</v>
      </c>
      <c r="E57" t="s">
        <v>11</v>
      </c>
      <c r="F57">
        <v>1.29</v>
      </c>
      <c r="G57" t="s">
        <v>16</v>
      </c>
      <c r="H57" s="13">
        <v>3762.06</v>
      </c>
    </row>
    <row r="58" spans="1:8" x14ac:dyDescent="0.25">
      <c r="A58" s="2">
        <v>45757</v>
      </c>
      <c r="B58" t="s">
        <v>62</v>
      </c>
      <c r="C58" t="s">
        <v>26</v>
      </c>
      <c r="D58" t="s">
        <v>10</v>
      </c>
      <c r="E58" t="s">
        <v>11</v>
      </c>
      <c r="F58">
        <v>5.41</v>
      </c>
      <c r="G58" t="s">
        <v>12</v>
      </c>
      <c r="H58" s="13">
        <v>0</v>
      </c>
    </row>
    <row r="59" spans="1:8" x14ac:dyDescent="0.25">
      <c r="A59" s="2">
        <v>45787</v>
      </c>
      <c r="B59" t="s">
        <v>63</v>
      </c>
      <c r="C59" t="s">
        <v>9</v>
      </c>
      <c r="D59" t="s">
        <v>15</v>
      </c>
      <c r="E59" t="s">
        <v>11</v>
      </c>
      <c r="F59">
        <v>2.72</v>
      </c>
      <c r="G59" t="s">
        <v>16</v>
      </c>
      <c r="H59" s="13">
        <v>3680.19</v>
      </c>
    </row>
    <row r="60" spans="1:8" x14ac:dyDescent="0.25">
      <c r="A60" s="2">
        <v>45666</v>
      </c>
      <c r="B60" t="s">
        <v>64</v>
      </c>
      <c r="C60" t="s">
        <v>28</v>
      </c>
      <c r="D60" t="s">
        <v>19</v>
      </c>
      <c r="E60" t="s">
        <v>11</v>
      </c>
      <c r="F60">
        <v>3.8</v>
      </c>
      <c r="G60" t="s">
        <v>12</v>
      </c>
      <c r="H60" s="13">
        <v>0</v>
      </c>
    </row>
    <row r="61" spans="1:8" x14ac:dyDescent="0.25">
      <c r="A61" s="2">
        <v>45804</v>
      </c>
      <c r="B61" t="s">
        <v>45</v>
      </c>
      <c r="C61" t="s">
        <v>26</v>
      </c>
      <c r="D61" t="s">
        <v>10</v>
      </c>
      <c r="E61" t="s">
        <v>22</v>
      </c>
      <c r="F61">
        <v>1.32</v>
      </c>
      <c r="G61" t="s">
        <v>16</v>
      </c>
      <c r="H61" s="13">
        <v>1724.54</v>
      </c>
    </row>
    <row r="62" spans="1:8" x14ac:dyDescent="0.25">
      <c r="A62" s="2">
        <v>45804</v>
      </c>
      <c r="B62" t="s">
        <v>27</v>
      </c>
      <c r="C62" t="s">
        <v>9</v>
      </c>
      <c r="D62" t="s">
        <v>10</v>
      </c>
      <c r="E62" t="s">
        <v>20</v>
      </c>
      <c r="F62">
        <v>4.2699999999999996</v>
      </c>
      <c r="G62" t="s">
        <v>16</v>
      </c>
      <c r="H62" s="13">
        <v>3937.23</v>
      </c>
    </row>
    <row r="63" spans="1:8" x14ac:dyDescent="0.25">
      <c r="A63" s="2">
        <v>45748</v>
      </c>
      <c r="B63" t="s">
        <v>40</v>
      </c>
      <c r="C63" t="s">
        <v>18</v>
      </c>
      <c r="D63" t="s">
        <v>19</v>
      </c>
      <c r="E63" t="s">
        <v>22</v>
      </c>
      <c r="F63">
        <v>2.59</v>
      </c>
      <c r="G63" t="s">
        <v>16</v>
      </c>
      <c r="H63" s="13">
        <v>3990.73</v>
      </c>
    </row>
    <row r="64" spans="1:8" x14ac:dyDescent="0.25">
      <c r="A64" s="2">
        <v>45718</v>
      </c>
      <c r="B64" t="s">
        <v>65</v>
      </c>
      <c r="C64" t="s">
        <v>26</v>
      </c>
      <c r="D64" t="s">
        <v>10</v>
      </c>
      <c r="E64" t="s">
        <v>20</v>
      </c>
      <c r="F64">
        <v>4.3499999999999996</v>
      </c>
      <c r="G64" t="s">
        <v>16</v>
      </c>
      <c r="H64" s="13">
        <v>2625.89</v>
      </c>
    </row>
    <row r="65" spans="1:8" x14ac:dyDescent="0.25">
      <c r="A65" s="2">
        <v>45810</v>
      </c>
      <c r="B65" t="s">
        <v>66</v>
      </c>
      <c r="C65" t="s">
        <v>28</v>
      </c>
      <c r="D65" t="s">
        <v>15</v>
      </c>
      <c r="E65" t="s">
        <v>22</v>
      </c>
      <c r="F65">
        <v>4.68</v>
      </c>
      <c r="G65" t="s">
        <v>12</v>
      </c>
      <c r="H65" s="13">
        <v>0</v>
      </c>
    </row>
    <row r="66" spans="1:8" x14ac:dyDescent="0.25">
      <c r="A66" s="2">
        <v>45819</v>
      </c>
      <c r="B66" t="s">
        <v>67</v>
      </c>
      <c r="C66" t="s">
        <v>28</v>
      </c>
      <c r="D66" t="s">
        <v>19</v>
      </c>
      <c r="E66" t="s">
        <v>22</v>
      </c>
      <c r="F66">
        <v>3.17</v>
      </c>
      <c r="G66" t="s">
        <v>16</v>
      </c>
      <c r="H66" s="13">
        <v>4499.3</v>
      </c>
    </row>
    <row r="67" spans="1:8" x14ac:dyDescent="0.25">
      <c r="A67" s="2">
        <v>45743</v>
      </c>
      <c r="B67" t="s">
        <v>68</v>
      </c>
      <c r="C67" t="s">
        <v>9</v>
      </c>
      <c r="D67" t="s">
        <v>10</v>
      </c>
      <c r="E67" t="s">
        <v>20</v>
      </c>
      <c r="F67">
        <v>2.2200000000000002</v>
      </c>
      <c r="G67" t="s">
        <v>12</v>
      </c>
      <c r="H67" s="13">
        <v>0</v>
      </c>
    </row>
    <row r="68" spans="1:8" x14ac:dyDescent="0.25">
      <c r="A68" s="2">
        <v>45728</v>
      </c>
      <c r="B68" t="s">
        <v>69</v>
      </c>
      <c r="C68" t="s">
        <v>9</v>
      </c>
      <c r="D68" t="s">
        <v>15</v>
      </c>
      <c r="E68" t="s">
        <v>22</v>
      </c>
      <c r="F68">
        <v>4.62</v>
      </c>
      <c r="G68" t="s">
        <v>12</v>
      </c>
      <c r="H68" s="13">
        <v>0</v>
      </c>
    </row>
    <row r="69" spans="1:8" x14ac:dyDescent="0.25">
      <c r="A69" s="2">
        <v>45801</v>
      </c>
      <c r="B69" t="s">
        <v>34</v>
      </c>
      <c r="C69" t="s">
        <v>9</v>
      </c>
      <c r="D69" t="s">
        <v>10</v>
      </c>
      <c r="E69" t="s">
        <v>20</v>
      </c>
      <c r="F69">
        <v>3.82</v>
      </c>
      <c r="G69" t="s">
        <v>16</v>
      </c>
      <c r="H69" s="13">
        <v>3760.08</v>
      </c>
    </row>
    <row r="70" spans="1:8" x14ac:dyDescent="0.25">
      <c r="A70" s="2">
        <v>45674</v>
      </c>
      <c r="B70" t="s">
        <v>41</v>
      </c>
      <c r="C70" t="s">
        <v>28</v>
      </c>
      <c r="D70" t="s">
        <v>10</v>
      </c>
      <c r="E70" t="s">
        <v>11</v>
      </c>
      <c r="F70">
        <v>0.52</v>
      </c>
      <c r="G70" t="s">
        <v>16</v>
      </c>
      <c r="H70" s="13">
        <v>1783.78</v>
      </c>
    </row>
    <row r="71" spans="1:8" x14ac:dyDescent="0.25">
      <c r="A71" s="2">
        <v>45805</v>
      </c>
      <c r="B71" t="s">
        <v>25</v>
      </c>
      <c r="C71" t="s">
        <v>26</v>
      </c>
      <c r="D71" t="s">
        <v>15</v>
      </c>
      <c r="E71" t="s">
        <v>22</v>
      </c>
      <c r="F71">
        <v>1.78</v>
      </c>
      <c r="G71" t="s">
        <v>12</v>
      </c>
      <c r="H71" s="13">
        <v>0</v>
      </c>
    </row>
    <row r="72" spans="1:8" x14ac:dyDescent="0.25">
      <c r="A72" s="2">
        <v>45730</v>
      </c>
      <c r="B72" t="s">
        <v>69</v>
      </c>
      <c r="C72" t="s">
        <v>28</v>
      </c>
      <c r="D72" t="s">
        <v>10</v>
      </c>
      <c r="E72" t="s">
        <v>11</v>
      </c>
      <c r="F72">
        <v>3.75</v>
      </c>
      <c r="G72" t="s">
        <v>12</v>
      </c>
      <c r="H72" s="13">
        <v>0</v>
      </c>
    </row>
    <row r="73" spans="1:8" x14ac:dyDescent="0.25">
      <c r="A73" s="2">
        <v>45792</v>
      </c>
      <c r="B73" t="s">
        <v>70</v>
      </c>
      <c r="C73" t="s">
        <v>28</v>
      </c>
      <c r="D73" t="s">
        <v>15</v>
      </c>
      <c r="E73" t="s">
        <v>22</v>
      </c>
      <c r="F73">
        <v>1.84</v>
      </c>
      <c r="G73" t="s">
        <v>16</v>
      </c>
      <c r="H73" s="13">
        <v>2648.92</v>
      </c>
    </row>
    <row r="74" spans="1:8" x14ac:dyDescent="0.25">
      <c r="A74" s="2">
        <v>45664</v>
      </c>
      <c r="B74" t="s">
        <v>27</v>
      </c>
      <c r="C74" t="s">
        <v>9</v>
      </c>
      <c r="D74" t="s">
        <v>10</v>
      </c>
      <c r="E74" t="s">
        <v>11</v>
      </c>
      <c r="F74">
        <v>2.1800000000000002</v>
      </c>
      <c r="G74" t="s">
        <v>12</v>
      </c>
      <c r="H74" s="13">
        <v>0</v>
      </c>
    </row>
    <row r="75" spans="1:8" x14ac:dyDescent="0.25">
      <c r="A75" s="2">
        <v>45803</v>
      </c>
      <c r="B75" t="s">
        <v>49</v>
      </c>
      <c r="C75" t="s">
        <v>28</v>
      </c>
      <c r="D75" t="s">
        <v>10</v>
      </c>
      <c r="E75" t="s">
        <v>22</v>
      </c>
      <c r="F75">
        <v>3.39</v>
      </c>
      <c r="G75" t="s">
        <v>12</v>
      </c>
      <c r="H75" s="13">
        <v>0</v>
      </c>
    </row>
    <row r="76" spans="1:8" x14ac:dyDescent="0.25">
      <c r="A76" s="2">
        <v>45659</v>
      </c>
      <c r="B76" t="s">
        <v>71</v>
      </c>
      <c r="C76" t="s">
        <v>28</v>
      </c>
      <c r="D76" t="s">
        <v>15</v>
      </c>
      <c r="E76" t="s">
        <v>22</v>
      </c>
      <c r="F76">
        <v>5.59</v>
      </c>
      <c r="G76" t="s">
        <v>12</v>
      </c>
      <c r="H76" s="13">
        <v>0</v>
      </c>
    </row>
    <row r="77" spans="1:8" x14ac:dyDescent="0.25">
      <c r="A77" s="2">
        <v>45794</v>
      </c>
      <c r="B77" t="s">
        <v>45</v>
      </c>
      <c r="C77" t="s">
        <v>14</v>
      </c>
      <c r="D77" t="s">
        <v>19</v>
      </c>
      <c r="E77" t="s">
        <v>11</v>
      </c>
      <c r="F77">
        <v>3.81</v>
      </c>
      <c r="G77" t="s">
        <v>12</v>
      </c>
      <c r="H77" s="13">
        <v>0</v>
      </c>
    </row>
    <row r="78" spans="1:8" x14ac:dyDescent="0.25">
      <c r="A78" s="2">
        <v>45795</v>
      </c>
      <c r="B78" t="s">
        <v>72</v>
      </c>
      <c r="C78" t="s">
        <v>14</v>
      </c>
      <c r="D78" t="s">
        <v>19</v>
      </c>
      <c r="E78" t="s">
        <v>22</v>
      </c>
      <c r="F78">
        <v>1.1599999999999999</v>
      </c>
      <c r="G78" t="s">
        <v>12</v>
      </c>
      <c r="H78" s="13">
        <v>0</v>
      </c>
    </row>
    <row r="79" spans="1:8" x14ac:dyDescent="0.25">
      <c r="A79" s="2">
        <v>45736</v>
      </c>
      <c r="B79" t="s">
        <v>44</v>
      </c>
      <c r="C79" t="s">
        <v>18</v>
      </c>
      <c r="D79" t="s">
        <v>19</v>
      </c>
      <c r="E79" t="s">
        <v>22</v>
      </c>
      <c r="F79">
        <v>5.15</v>
      </c>
      <c r="G79" t="s">
        <v>12</v>
      </c>
      <c r="H79" s="13">
        <v>0</v>
      </c>
    </row>
    <row r="80" spans="1:8" x14ac:dyDescent="0.25">
      <c r="A80" s="2">
        <v>45759</v>
      </c>
      <c r="B80" t="s">
        <v>73</v>
      </c>
      <c r="C80" t="s">
        <v>18</v>
      </c>
      <c r="D80" t="s">
        <v>10</v>
      </c>
      <c r="E80" t="s">
        <v>11</v>
      </c>
      <c r="F80">
        <v>4.34</v>
      </c>
      <c r="G80" t="s">
        <v>12</v>
      </c>
      <c r="H80" s="13">
        <v>0</v>
      </c>
    </row>
    <row r="81" spans="1:8" x14ac:dyDescent="0.25">
      <c r="A81" s="2">
        <v>45798</v>
      </c>
      <c r="B81" t="s">
        <v>13</v>
      </c>
      <c r="C81" t="s">
        <v>14</v>
      </c>
      <c r="D81" t="s">
        <v>15</v>
      </c>
      <c r="E81" t="s">
        <v>20</v>
      </c>
      <c r="F81">
        <v>2.39</v>
      </c>
      <c r="G81" t="s">
        <v>12</v>
      </c>
      <c r="H81" s="13">
        <v>0</v>
      </c>
    </row>
    <row r="82" spans="1:8" x14ac:dyDescent="0.25">
      <c r="A82" s="2">
        <v>45735</v>
      </c>
      <c r="B82" t="s">
        <v>21</v>
      </c>
      <c r="C82" t="s">
        <v>14</v>
      </c>
      <c r="D82" t="s">
        <v>10</v>
      </c>
      <c r="E82" t="s">
        <v>20</v>
      </c>
      <c r="F82">
        <v>1.29</v>
      </c>
      <c r="G82" t="s">
        <v>12</v>
      </c>
      <c r="H82" s="13">
        <v>0</v>
      </c>
    </row>
    <row r="83" spans="1:8" x14ac:dyDescent="0.25">
      <c r="A83" s="2">
        <v>45701</v>
      </c>
      <c r="B83" t="s">
        <v>23</v>
      </c>
      <c r="C83" t="s">
        <v>28</v>
      </c>
      <c r="D83" t="s">
        <v>15</v>
      </c>
      <c r="E83" t="s">
        <v>22</v>
      </c>
      <c r="F83">
        <v>2.8</v>
      </c>
      <c r="G83" t="s">
        <v>16</v>
      </c>
      <c r="H83" s="13">
        <v>3713.83</v>
      </c>
    </row>
    <row r="84" spans="1:8" x14ac:dyDescent="0.25">
      <c r="A84" s="2">
        <v>45727</v>
      </c>
      <c r="B84" t="s">
        <v>52</v>
      </c>
      <c r="C84" t="s">
        <v>9</v>
      </c>
      <c r="D84" t="s">
        <v>10</v>
      </c>
      <c r="E84" t="s">
        <v>11</v>
      </c>
      <c r="F84">
        <v>0.79</v>
      </c>
      <c r="G84" t="s">
        <v>16</v>
      </c>
      <c r="H84" s="13">
        <v>1354.01</v>
      </c>
    </row>
    <row r="85" spans="1:8" x14ac:dyDescent="0.25">
      <c r="A85" s="2">
        <v>45672</v>
      </c>
      <c r="B85" t="s">
        <v>74</v>
      </c>
      <c r="C85" t="s">
        <v>18</v>
      </c>
      <c r="D85" t="s">
        <v>19</v>
      </c>
      <c r="E85" t="s">
        <v>22</v>
      </c>
      <c r="F85">
        <v>4.32</v>
      </c>
      <c r="G85" t="s">
        <v>12</v>
      </c>
      <c r="H85" s="13">
        <v>0</v>
      </c>
    </row>
    <row r="86" spans="1:8" x14ac:dyDescent="0.25">
      <c r="A86" s="2">
        <v>45780</v>
      </c>
      <c r="B86" t="s">
        <v>75</v>
      </c>
      <c r="C86" t="s">
        <v>26</v>
      </c>
      <c r="D86" t="s">
        <v>19</v>
      </c>
      <c r="E86" t="s">
        <v>20</v>
      </c>
      <c r="F86">
        <v>1.25</v>
      </c>
      <c r="G86" t="s">
        <v>16</v>
      </c>
      <c r="H86" s="13">
        <v>2734.35</v>
      </c>
    </row>
    <row r="87" spans="1:8" x14ac:dyDescent="0.25">
      <c r="A87" s="2">
        <v>45725</v>
      </c>
      <c r="B87" t="s">
        <v>66</v>
      </c>
      <c r="C87" t="s">
        <v>28</v>
      </c>
      <c r="D87" t="s">
        <v>15</v>
      </c>
      <c r="E87" t="s">
        <v>22</v>
      </c>
      <c r="F87">
        <v>2.63</v>
      </c>
      <c r="G87" t="s">
        <v>16</v>
      </c>
      <c r="H87" s="13">
        <v>3400.28</v>
      </c>
    </row>
    <row r="88" spans="1:8" x14ac:dyDescent="0.25">
      <c r="A88" s="2">
        <v>45824</v>
      </c>
      <c r="B88" t="s">
        <v>76</v>
      </c>
      <c r="C88" t="s">
        <v>18</v>
      </c>
      <c r="D88" t="s">
        <v>10</v>
      </c>
      <c r="E88" t="s">
        <v>11</v>
      </c>
      <c r="F88">
        <v>3.2</v>
      </c>
      <c r="G88" t="s">
        <v>12</v>
      </c>
      <c r="H88" s="13">
        <v>0</v>
      </c>
    </row>
    <row r="89" spans="1:8" x14ac:dyDescent="0.25">
      <c r="A89" s="2">
        <v>45690</v>
      </c>
      <c r="B89" t="s">
        <v>48</v>
      </c>
      <c r="C89" t="s">
        <v>26</v>
      </c>
      <c r="D89" t="s">
        <v>10</v>
      </c>
      <c r="E89" t="s">
        <v>11</v>
      </c>
      <c r="F89">
        <v>2.2000000000000002</v>
      </c>
      <c r="G89" t="s">
        <v>16</v>
      </c>
      <c r="H89" s="13">
        <v>2170.04</v>
      </c>
    </row>
    <row r="90" spans="1:8" x14ac:dyDescent="0.25">
      <c r="A90" s="2">
        <v>45713</v>
      </c>
      <c r="B90" t="s">
        <v>54</v>
      </c>
      <c r="C90" t="s">
        <v>14</v>
      </c>
      <c r="D90" t="s">
        <v>10</v>
      </c>
      <c r="E90" t="s">
        <v>22</v>
      </c>
      <c r="F90">
        <v>2.76</v>
      </c>
      <c r="G90" t="s">
        <v>16</v>
      </c>
      <c r="H90" s="13">
        <v>2743.33</v>
      </c>
    </row>
    <row r="91" spans="1:8" x14ac:dyDescent="0.25">
      <c r="A91" s="2">
        <v>45696</v>
      </c>
      <c r="B91" t="s">
        <v>77</v>
      </c>
      <c r="C91" t="s">
        <v>14</v>
      </c>
      <c r="D91" t="s">
        <v>10</v>
      </c>
      <c r="E91" t="s">
        <v>22</v>
      </c>
      <c r="F91">
        <v>0.55000000000000004</v>
      </c>
      <c r="G91" t="s">
        <v>16</v>
      </c>
      <c r="H91" s="13">
        <v>3442.75</v>
      </c>
    </row>
    <row r="92" spans="1:8" x14ac:dyDescent="0.25">
      <c r="A92" s="2">
        <v>45766</v>
      </c>
      <c r="B92" t="s">
        <v>75</v>
      </c>
      <c r="C92" t="s">
        <v>9</v>
      </c>
      <c r="D92" t="s">
        <v>10</v>
      </c>
      <c r="E92" t="s">
        <v>20</v>
      </c>
      <c r="F92">
        <v>1.94</v>
      </c>
      <c r="G92" t="s">
        <v>12</v>
      </c>
      <c r="H92" s="13">
        <v>0</v>
      </c>
    </row>
    <row r="93" spans="1:8" x14ac:dyDescent="0.25">
      <c r="A93" s="2">
        <v>45742</v>
      </c>
      <c r="B93" t="s">
        <v>53</v>
      </c>
      <c r="C93" t="s">
        <v>26</v>
      </c>
      <c r="D93" t="s">
        <v>19</v>
      </c>
      <c r="E93" t="s">
        <v>22</v>
      </c>
      <c r="F93">
        <v>4.4400000000000004</v>
      </c>
      <c r="G93" t="s">
        <v>16</v>
      </c>
      <c r="H93" s="13">
        <v>4011.81</v>
      </c>
    </row>
    <row r="94" spans="1:8" x14ac:dyDescent="0.25">
      <c r="A94" s="2">
        <v>45747</v>
      </c>
      <c r="B94" t="s">
        <v>43</v>
      </c>
      <c r="C94" t="s">
        <v>18</v>
      </c>
      <c r="D94" t="s">
        <v>15</v>
      </c>
      <c r="E94" t="s">
        <v>22</v>
      </c>
      <c r="F94">
        <v>0.86</v>
      </c>
      <c r="G94" t="s">
        <v>12</v>
      </c>
      <c r="H94" s="13">
        <v>0</v>
      </c>
    </row>
    <row r="95" spans="1:8" x14ac:dyDescent="0.25">
      <c r="A95" s="2">
        <v>45682</v>
      </c>
      <c r="B95" t="s">
        <v>43</v>
      </c>
      <c r="C95" t="s">
        <v>18</v>
      </c>
      <c r="D95" t="s">
        <v>10</v>
      </c>
      <c r="E95" t="s">
        <v>11</v>
      </c>
      <c r="F95">
        <v>0.6</v>
      </c>
      <c r="G95" t="s">
        <v>16</v>
      </c>
      <c r="H95" s="13">
        <v>4450.59</v>
      </c>
    </row>
    <row r="96" spans="1:8" x14ac:dyDescent="0.25">
      <c r="A96" s="2">
        <v>45660</v>
      </c>
      <c r="B96" t="s">
        <v>78</v>
      </c>
      <c r="C96" t="s">
        <v>26</v>
      </c>
      <c r="D96" t="s">
        <v>19</v>
      </c>
      <c r="E96" t="s">
        <v>11</v>
      </c>
      <c r="F96">
        <v>5.44</v>
      </c>
      <c r="G96" t="s">
        <v>12</v>
      </c>
      <c r="H96" s="13">
        <v>0</v>
      </c>
    </row>
    <row r="97" spans="1:8" x14ac:dyDescent="0.25">
      <c r="A97" s="2">
        <v>45722</v>
      </c>
      <c r="B97" t="s">
        <v>79</v>
      </c>
      <c r="C97" t="s">
        <v>26</v>
      </c>
      <c r="D97" t="s">
        <v>15</v>
      </c>
      <c r="E97" t="s">
        <v>20</v>
      </c>
      <c r="F97">
        <v>5.32</v>
      </c>
      <c r="G97" t="s">
        <v>12</v>
      </c>
      <c r="H97" s="13">
        <v>0</v>
      </c>
    </row>
    <row r="98" spans="1:8" x14ac:dyDescent="0.25">
      <c r="A98" s="2">
        <v>45711</v>
      </c>
      <c r="B98" t="s">
        <v>77</v>
      </c>
      <c r="C98" t="s">
        <v>14</v>
      </c>
      <c r="D98" t="s">
        <v>15</v>
      </c>
      <c r="E98" t="s">
        <v>11</v>
      </c>
      <c r="F98">
        <v>4.03</v>
      </c>
      <c r="G98" t="s">
        <v>12</v>
      </c>
      <c r="H98" s="13">
        <v>0</v>
      </c>
    </row>
    <row r="99" spans="1:8" x14ac:dyDescent="0.25">
      <c r="A99" s="2">
        <v>45735</v>
      </c>
      <c r="B99" t="s">
        <v>80</v>
      </c>
      <c r="C99" t="s">
        <v>26</v>
      </c>
      <c r="D99" t="s">
        <v>10</v>
      </c>
      <c r="E99" t="s">
        <v>11</v>
      </c>
      <c r="F99">
        <v>3.9</v>
      </c>
      <c r="G99" t="s">
        <v>16</v>
      </c>
      <c r="H99" s="13">
        <v>2435.4299999999998</v>
      </c>
    </row>
    <row r="100" spans="1:8" x14ac:dyDescent="0.25">
      <c r="A100" s="2">
        <v>45693</v>
      </c>
      <c r="B100" t="s">
        <v>65</v>
      </c>
      <c r="C100" t="s">
        <v>9</v>
      </c>
      <c r="D100" t="s">
        <v>19</v>
      </c>
      <c r="E100" t="s">
        <v>20</v>
      </c>
      <c r="F100">
        <v>3.31</v>
      </c>
      <c r="G100" t="s">
        <v>16</v>
      </c>
      <c r="H100" s="13">
        <v>3104.33</v>
      </c>
    </row>
    <row r="101" spans="1:8" x14ac:dyDescent="0.25">
      <c r="A101" s="2">
        <v>45728</v>
      </c>
      <c r="B101" t="s">
        <v>81</v>
      </c>
      <c r="C101" t="s">
        <v>9</v>
      </c>
      <c r="D101" t="s">
        <v>19</v>
      </c>
      <c r="E101" t="s">
        <v>20</v>
      </c>
      <c r="F101">
        <v>4.78</v>
      </c>
      <c r="G101" t="s">
        <v>16</v>
      </c>
      <c r="H101" s="13">
        <v>1494.04</v>
      </c>
    </row>
    <row r="102" spans="1:8" x14ac:dyDescent="0.25">
      <c r="A102" s="2">
        <v>45733</v>
      </c>
      <c r="B102" t="s">
        <v>59</v>
      </c>
      <c r="C102" t="s">
        <v>26</v>
      </c>
      <c r="D102" t="s">
        <v>10</v>
      </c>
      <c r="E102" t="s">
        <v>11</v>
      </c>
      <c r="F102">
        <v>1.49</v>
      </c>
      <c r="G102" t="s">
        <v>16</v>
      </c>
      <c r="H102" s="13">
        <v>2892.83</v>
      </c>
    </row>
    <row r="103" spans="1:8" x14ac:dyDescent="0.25">
      <c r="A103" s="2">
        <v>45660</v>
      </c>
      <c r="B103" t="s">
        <v>35</v>
      </c>
      <c r="C103" t="s">
        <v>9</v>
      </c>
      <c r="D103" t="s">
        <v>19</v>
      </c>
      <c r="E103" t="s">
        <v>11</v>
      </c>
      <c r="F103">
        <v>0.72</v>
      </c>
      <c r="G103" t="s">
        <v>16</v>
      </c>
      <c r="H103" s="13">
        <v>1833.22</v>
      </c>
    </row>
    <row r="104" spans="1:8" x14ac:dyDescent="0.25">
      <c r="A104" s="2">
        <v>45665</v>
      </c>
      <c r="B104" t="s">
        <v>39</v>
      </c>
      <c r="C104" t="s">
        <v>9</v>
      </c>
      <c r="D104" t="s">
        <v>10</v>
      </c>
      <c r="E104" t="s">
        <v>20</v>
      </c>
      <c r="F104">
        <v>5.0199999999999996</v>
      </c>
      <c r="G104" t="s">
        <v>16</v>
      </c>
      <c r="H104" s="13">
        <v>3838.29</v>
      </c>
    </row>
    <row r="105" spans="1:8" x14ac:dyDescent="0.25">
      <c r="A105" s="2">
        <v>45801</v>
      </c>
      <c r="B105" t="s">
        <v>61</v>
      </c>
      <c r="C105" t="s">
        <v>9</v>
      </c>
      <c r="D105" t="s">
        <v>10</v>
      </c>
      <c r="E105" t="s">
        <v>22</v>
      </c>
      <c r="F105">
        <v>2.2000000000000002</v>
      </c>
      <c r="G105" t="s">
        <v>12</v>
      </c>
      <c r="H105" s="13">
        <v>0</v>
      </c>
    </row>
    <row r="106" spans="1:8" x14ac:dyDescent="0.25">
      <c r="A106" s="2">
        <v>45747</v>
      </c>
      <c r="B106" t="s">
        <v>82</v>
      </c>
      <c r="C106" t="s">
        <v>26</v>
      </c>
      <c r="D106" t="s">
        <v>19</v>
      </c>
      <c r="E106" t="s">
        <v>11</v>
      </c>
      <c r="F106">
        <v>4.47</v>
      </c>
      <c r="G106" t="s">
        <v>16</v>
      </c>
      <c r="H106" s="13">
        <v>163.15</v>
      </c>
    </row>
    <row r="107" spans="1:8" x14ac:dyDescent="0.25">
      <c r="A107" s="2">
        <v>45835</v>
      </c>
      <c r="B107" t="s">
        <v>66</v>
      </c>
      <c r="C107" t="s">
        <v>14</v>
      </c>
      <c r="D107" t="s">
        <v>15</v>
      </c>
      <c r="E107" t="s">
        <v>20</v>
      </c>
      <c r="F107">
        <v>3.32</v>
      </c>
      <c r="G107" t="s">
        <v>12</v>
      </c>
      <c r="H107" s="13">
        <v>0</v>
      </c>
    </row>
    <row r="108" spans="1:8" x14ac:dyDescent="0.25">
      <c r="A108" s="2">
        <v>45716</v>
      </c>
      <c r="B108" t="s">
        <v>76</v>
      </c>
      <c r="C108" t="s">
        <v>14</v>
      </c>
      <c r="D108" t="s">
        <v>19</v>
      </c>
      <c r="E108" t="s">
        <v>11</v>
      </c>
      <c r="F108">
        <v>5.89</v>
      </c>
      <c r="G108" t="s">
        <v>12</v>
      </c>
      <c r="H108" s="13">
        <v>0</v>
      </c>
    </row>
    <row r="109" spans="1:8" x14ac:dyDescent="0.25">
      <c r="A109" s="2">
        <v>45806</v>
      </c>
      <c r="B109" t="s">
        <v>83</v>
      </c>
      <c r="C109" t="s">
        <v>18</v>
      </c>
      <c r="D109" t="s">
        <v>10</v>
      </c>
      <c r="E109" t="s">
        <v>11</v>
      </c>
      <c r="F109">
        <v>0.73</v>
      </c>
      <c r="G109" t="s">
        <v>16</v>
      </c>
      <c r="H109" s="13">
        <v>1785.97</v>
      </c>
    </row>
    <row r="110" spans="1:8" x14ac:dyDescent="0.25">
      <c r="A110" s="2">
        <v>45734</v>
      </c>
      <c r="B110" t="s">
        <v>57</v>
      </c>
      <c r="C110" t="s">
        <v>18</v>
      </c>
      <c r="D110" t="s">
        <v>19</v>
      </c>
      <c r="E110" t="s">
        <v>11</v>
      </c>
      <c r="F110">
        <v>1.47</v>
      </c>
      <c r="G110" t="s">
        <v>12</v>
      </c>
      <c r="H110" s="13">
        <v>0</v>
      </c>
    </row>
    <row r="111" spans="1:8" x14ac:dyDescent="0.25">
      <c r="A111" s="2">
        <v>45694</v>
      </c>
      <c r="B111" t="s">
        <v>84</v>
      </c>
      <c r="C111" t="s">
        <v>14</v>
      </c>
      <c r="D111" t="s">
        <v>15</v>
      </c>
      <c r="E111" t="s">
        <v>11</v>
      </c>
      <c r="F111">
        <v>3.62</v>
      </c>
      <c r="G111" t="s">
        <v>16</v>
      </c>
      <c r="H111" s="13">
        <v>2555.77</v>
      </c>
    </row>
    <row r="112" spans="1:8" x14ac:dyDescent="0.25">
      <c r="A112" s="2">
        <v>45792</v>
      </c>
      <c r="B112" t="s">
        <v>81</v>
      </c>
      <c r="C112" t="s">
        <v>9</v>
      </c>
      <c r="D112" t="s">
        <v>10</v>
      </c>
      <c r="E112" t="s">
        <v>20</v>
      </c>
      <c r="F112">
        <v>5.5</v>
      </c>
      <c r="G112" t="s">
        <v>16</v>
      </c>
      <c r="H112" s="13">
        <v>4245.95</v>
      </c>
    </row>
    <row r="113" spans="1:8" x14ac:dyDescent="0.25">
      <c r="A113" s="2">
        <v>45822</v>
      </c>
      <c r="B113" t="s">
        <v>42</v>
      </c>
      <c r="C113" t="s">
        <v>18</v>
      </c>
      <c r="D113" t="s">
        <v>19</v>
      </c>
      <c r="E113" t="s">
        <v>22</v>
      </c>
      <c r="F113">
        <v>4.43</v>
      </c>
      <c r="G113" t="s">
        <v>12</v>
      </c>
      <c r="H113" s="13">
        <v>0</v>
      </c>
    </row>
    <row r="114" spans="1:8" x14ac:dyDescent="0.25">
      <c r="A114" s="2">
        <v>45744</v>
      </c>
      <c r="B114" t="s">
        <v>85</v>
      </c>
      <c r="C114" t="s">
        <v>9</v>
      </c>
      <c r="D114" t="s">
        <v>15</v>
      </c>
      <c r="E114" t="s">
        <v>20</v>
      </c>
      <c r="F114">
        <v>3.79</v>
      </c>
      <c r="G114" t="s">
        <v>12</v>
      </c>
      <c r="H114" s="13">
        <v>0</v>
      </c>
    </row>
    <row r="115" spans="1:8" x14ac:dyDescent="0.25">
      <c r="A115" s="2">
        <v>45758</v>
      </c>
      <c r="B115" t="s">
        <v>86</v>
      </c>
      <c r="C115" t="s">
        <v>9</v>
      </c>
      <c r="D115" t="s">
        <v>10</v>
      </c>
      <c r="E115" t="s">
        <v>11</v>
      </c>
      <c r="F115">
        <v>5.77</v>
      </c>
      <c r="G115" t="s">
        <v>12</v>
      </c>
      <c r="H115" s="13">
        <v>0</v>
      </c>
    </row>
    <row r="116" spans="1:8" x14ac:dyDescent="0.25">
      <c r="A116" s="2">
        <v>45704</v>
      </c>
      <c r="B116" t="s">
        <v>38</v>
      </c>
      <c r="C116" t="s">
        <v>14</v>
      </c>
      <c r="D116" t="s">
        <v>10</v>
      </c>
      <c r="E116" t="s">
        <v>22</v>
      </c>
      <c r="F116">
        <v>5.12</v>
      </c>
      <c r="G116" t="s">
        <v>12</v>
      </c>
      <c r="H116" s="13">
        <v>0</v>
      </c>
    </row>
    <row r="117" spans="1:8" x14ac:dyDescent="0.25">
      <c r="A117" s="2">
        <v>45722</v>
      </c>
      <c r="B117" t="s">
        <v>87</v>
      </c>
      <c r="C117" t="s">
        <v>26</v>
      </c>
      <c r="D117" t="s">
        <v>19</v>
      </c>
      <c r="E117" t="s">
        <v>20</v>
      </c>
      <c r="F117">
        <v>4.63</v>
      </c>
      <c r="G117" t="s">
        <v>16</v>
      </c>
      <c r="H117" s="13">
        <v>1555.14</v>
      </c>
    </row>
    <row r="118" spans="1:8" x14ac:dyDescent="0.25">
      <c r="A118" s="2">
        <v>45716</v>
      </c>
      <c r="B118" t="s">
        <v>66</v>
      </c>
      <c r="C118" t="s">
        <v>18</v>
      </c>
      <c r="D118" t="s">
        <v>10</v>
      </c>
      <c r="E118" t="s">
        <v>22</v>
      </c>
      <c r="F118">
        <v>0.56000000000000005</v>
      </c>
      <c r="G118" t="s">
        <v>16</v>
      </c>
      <c r="H118" s="13">
        <v>1105.8900000000001</v>
      </c>
    </row>
    <row r="119" spans="1:8" x14ac:dyDescent="0.25">
      <c r="A119" s="2">
        <v>45678</v>
      </c>
      <c r="B119" t="s">
        <v>68</v>
      </c>
      <c r="C119" t="s">
        <v>28</v>
      </c>
      <c r="D119" t="s">
        <v>10</v>
      </c>
      <c r="E119" t="s">
        <v>22</v>
      </c>
      <c r="F119">
        <v>5.39</v>
      </c>
      <c r="G119" t="s">
        <v>16</v>
      </c>
      <c r="H119" s="13">
        <v>3846.76</v>
      </c>
    </row>
    <row r="120" spans="1:8" x14ac:dyDescent="0.25">
      <c r="A120" s="2">
        <v>45744</v>
      </c>
      <c r="B120" t="s">
        <v>68</v>
      </c>
      <c r="C120" t="s">
        <v>28</v>
      </c>
      <c r="D120" t="s">
        <v>19</v>
      </c>
      <c r="E120" t="s">
        <v>22</v>
      </c>
      <c r="F120">
        <v>1.2</v>
      </c>
      <c r="G120" t="s">
        <v>16</v>
      </c>
      <c r="H120" s="13">
        <v>4124.95</v>
      </c>
    </row>
    <row r="121" spans="1:8" x14ac:dyDescent="0.25">
      <c r="A121" s="2">
        <v>45664</v>
      </c>
      <c r="B121" t="s">
        <v>51</v>
      </c>
      <c r="C121" t="s">
        <v>26</v>
      </c>
      <c r="D121" t="s">
        <v>19</v>
      </c>
      <c r="E121" t="s">
        <v>20</v>
      </c>
      <c r="F121">
        <v>3.6</v>
      </c>
      <c r="G121" t="s">
        <v>16</v>
      </c>
      <c r="H121" s="13">
        <v>3482.98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showGridLines="0" workbookViewId="0">
      <selection activeCell="H8" sqref="H8"/>
    </sheetView>
  </sheetViews>
  <sheetFormatPr defaultRowHeight="15" x14ac:dyDescent="0.25"/>
  <cols>
    <col min="1" max="1" width="18.28515625" bestFit="1" customWidth="1"/>
    <col min="2" max="2" width="9.85546875" bestFit="1" customWidth="1"/>
    <col min="3" max="3" width="12.85546875" bestFit="1" customWidth="1"/>
    <col min="4" max="4" width="12.7109375" bestFit="1" customWidth="1"/>
    <col min="5" max="5" width="13.85546875" bestFit="1" customWidth="1"/>
    <col min="6" max="6" width="15.140625" bestFit="1" customWidth="1"/>
    <col min="7" max="7" width="17" bestFit="1" customWidth="1"/>
  </cols>
  <sheetData>
    <row r="1" spans="1:7" x14ac:dyDescent="0.25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6</v>
      </c>
    </row>
    <row r="2" spans="1:7" x14ac:dyDescent="0.25">
      <c r="A2" s="2">
        <v>45753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12</v>
      </c>
    </row>
    <row r="3" spans="1:7" x14ac:dyDescent="0.25">
      <c r="A3" s="2">
        <v>45696</v>
      </c>
      <c r="B3" t="s">
        <v>97</v>
      </c>
      <c r="C3" t="s">
        <v>98</v>
      </c>
      <c r="D3" t="s">
        <v>95</v>
      </c>
      <c r="E3" t="s">
        <v>95</v>
      </c>
      <c r="F3" t="s">
        <v>96</v>
      </c>
      <c r="G3" t="s">
        <v>12</v>
      </c>
    </row>
    <row r="4" spans="1:7" x14ac:dyDescent="0.25">
      <c r="A4" s="2">
        <v>45826</v>
      </c>
      <c r="B4" t="s">
        <v>99</v>
      </c>
      <c r="C4" t="s">
        <v>100</v>
      </c>
      <c r="D4" t="s">
        <v>94</v>
      </c>
      <c r="E4" t="s">
        <v>101</v>
      </c>
      <c r="F4" t="s">
        <v>102</v>
      </c>
      <c r="G4" t="s">
        <v>12</v>
      </c>
    </row>
    <row r="5" spans="1:7" x14ac:dyDescent="0.25">
      <c r="A5" s="2">
        <v>45665</v>
      </c>
      <c r="B5" t="s">
        <v>103</v>
      </c>
      <c r="C5" t="s">
        <v>104</v>
      </c>
      <c r="D5" t="s">
        <v>95</v>
      </c>
      <c r="E5" t="s">
        <v>101</v>
      </c>
      <c r="F5" t="s">
        <v>105</v>
      </c>
      <c r="G5" t="s">
        <v>12</v>
      </c>
    </row>
    <row r="6" spans="1:7" x14ac:dyDescent="0.25">
      <c r="A6" s="2">
        <v>45779</v>
      </c>
      <c r="B6" t="s">
        <v>106</v>
      </c>
      <c r="C6" t="s">
        <v>107</v>
      </c>
      <c r="D6" t="s">
        <v>108</v>
      </c>
      <c r="E6" t="s">
        <v>95</v>
      </c>
      <c r="F6" t="s">
        <v>105</v>
      </c>
      <c r="G6" t="s">
        <v>16</v>
      </c>
    </row>
    <row r="7" spans="1:7" x14ac:dyDescent="0.25">
      <c r="A7" s="2">
        <v>45767</v>
      </c>
      <c r="B7" t="s">
        <v>97</v>
      </c>
      <c r="C7" t="s">
        <v>109</v>
      </c>
      <c r="D7" t="s">
        <v>95</v>
      </c>
      <c r="E7" t="s">
        <v>108</v>
      </c>
      <c r="F7" t="s">
        <v>102</v>
      </c>
      <c r="G7" t="s">
        <v>12</v>
      </c>
    </row>
    <row r="8" spans="1:7" x14ac:dyDescent="0.25">
      <c r="A8" s="2">
        <v>45716</v>
      </c>
      <c r="B8" t="s">
        <v>110</v>
      </c>
      <c r="C8" t="s">
        <v>111</v>
      </c>
      <c r="D8" t="s">
        <v>95</v>
      </c>
      <c r="E8" t="s">
        <v>95</v>
      </c>
      <c r="F8" t="s">
        <v>102</v>
      </c>
      <c r="G8" t="s">
        <v>16</v>
      </c>
    </row>
    <row r="9" spans="1:7" x14ac:dyDescent="0.25">
      <c r="A9" s="2">
        <v>45723</v>
      </c>
      <c r="B9" t="s">
        <v>112</v>
      </c>
      <c r="C9" t="s">
        <v>113</v>
      </c>
      <c r="D9" t="s">
        <v>95</v>
      </c>
      <c r="E9" t="s">
        <v>108</v>
      </c>
      <c r="F9" t="s">
        <v>105</v>
      </c>
      <c r="G9" t="s">
        <v>16</v>
      </c>
    </row>
    <row r="10" spans="1:7" x14ac:dyDescent="0.25">
      <c r="A10" s="2">
        <v>45765</v>
      </c>
      <c r="B10" t="s">
        <v>114</v>
      </c>
      <c r="C10" t="s">
        <v>115</v>
      </c>
      <c r="D10" t="s">
        <v>94</v>
      </c>
      <c r="E10" t="s">
        <v>95</v>
      </c>
      <c r="F10" t="s">
        <v>102</v>
      </c>
      <c r="G10" t="s">
        <v>16</v>
      </c>
    </row>
    <row r="11" spans="1:7" x14ac:dyDescent="0.25">
      <c r="A11" s="2">
        <v>45809</v>
      </c>
      <c r="B11" t="s">
        <v>116</v>
      </c>
      <c r="C11" t="s">
        <v>117</v>
      </c>
      <c r="D11" t="s">
        <v>94</v>
      </c>
      <c r="E11" t="s">
        <v>95</v>
      </c>
      <c r="F11" t="s">
        <v>105</v>
      </c>
      <c r="G11" t="s">
        <v>16</v>
      </c>
    </row>
    <row r="12" spans="1:7" x14ac:dyDescent="0.25">
      <c r="A12" s="2">
        <v>45723</v>
      </c>
      <c r="B12" t="s">
        <v>118</v>
      </c>
      <c r="C12" t="s">
        <v>119</v>
      </c>
      <c r="D12" t="s">
        <v>95</v>
      </c>
      <c r="E12" t="s">
        <v>101</v>
      </c>
      <c r="F12" t="s">
        <v>96</v>
      </c>
      <c r="G12" t="s">
        <v>16</v>
      </c>
    </row>
    <row r="13" spans="1:7" x14ac:dyDescent="0.25">
      <c r="A13" s="2">
        <v>45720</v>
      </c>
      <c r="B13" t="s">
        <v>120</v>
      </c>
      <c r="C13" t="s">
        <v>121</v>
      </c>
      <c r="D13" t="s">
        <v>95</v>
      </c>
      <c r="E13" t="s">
        <v>108</v>
      </c>
      <c r="F13" t="s">
        <v>122</v>
      </c>
      <c r="G13" t="s">
        <v>12</v>
      </c>
    </row>
    <row r="14" spans="1:7" x14ac:dyDescent="0.25">
      <c r="A14" s="2">
        <v>45664</v>
      </c>
      <c r="B14" t="s">
        <v>123</v>
      </c>
      <c r="C14" t="s">
        <v>124</v>
      </c>
      <c r="D14" t="s">
        <v>95</v>
      </c>
      <c r="E14" t="s">
        <v>108</v>
      </c>
      <c r="F14" t="s">
        <v>122</v>
      </c>
      <c r="G14" t="s">
        <v>12</v>
      </c>
    </row>
    <row r="15" spans="1:7" x14ac:dyDescent="0.25">
      <c r="A15" s="2">
        <v>45833</v>
      </c>
      <c r="B15" t="s">
        <v>125</v>
      </c>
      <c r="C15" t="s">
        <v>126</v>
      </c>
      <c r="D15" t="s">
        <v>108</v>
      </c>
      <c r="E15" t="s">
        <v>95</v>
      </c>
      <c r="F15" t="s">
        <v>102</v>
      </c>
      <c r="G15" t="s">
        <v>16</v>
      </c>
    </row>
    <row r="16" spans="1:7" x14ac:dyDescent="0.25">
      <c r="A16" s="2">
        <v>45785</v>
      </c>
      <c r="B16" t="s">
        <v>127</v>
      </c>
      <c r="C16" t="s">
        <v>128</v>
      </c>
      <c r="D16" t="s">
        <v>95</v>
      </c>
      <c r="E16" t="s">
        <v>108</v>
      </c>
      <c r="F16" t="s">
        <v>122</v>
      </c>
      <c r="G16" t="s">
        <v>16</v>
      </c>
    </row>
    <row r="17" spans="1:7" x14ac:dyDescent="0.25">
      <c r="A17" s="2">
        <v>45714</v>
      </c>
      <c r="B17" t="s">
        <v>129</v>
      </c>
      <c r="C17" t="s">
        <v>130</v>
      </c>
      <c r="D17" t="s">
        <v>108</v>
      </c>
      <c r="E17" t="s">
        <v>108</v>
      </c>
      <c r="F17" t="s">
        <v>105</v>
      </c>
      <c r="G17" t="s">
        <v>12</v>
      </c>
    </row>
    <row r="18" spans="1:7" x14ac:dyDescent="0.25">
      <c r="A18" s="2">
        <v>45662</v>
      </c>
      <c r="B18" t="s">
        <v>131</v>
      </c>
      <c r="C18" t="s">
        <v>132</v>
      </c>
      <c r="D18" t="s">
        <v>95</v>
      </c>
      <c r="E18" t="s">
        <v>108</v>
      </c>
      <c r="F18" t="s">
        <v>96</v>
      </c>
      <c r="G18" t="s">
        <v>12</v>
      </c>
    </row>
    <row r="19" spans="1:7" x14ac:dyDescent="0.25">
      <c r="A19" s="2">
        <v>45674</v>
      </c>
      <c r="B19" t="s">
        <v>133</v>
      </c>
      <c r="C19" t="s">
        <v>134</v>
      </c>
      <c r="D19" t="s">
        <v>95</v>
      </c>
      <c r="E19" t="s">
        <v>101</v>
      </c>
      <c r="F19" t="s">
        <v>122</v>
      </c>
      <c r="G19" t="s">
        <v>12</v>
      </c>
    </row>
    <row r="20" spans="1:7" x14ac:dyDescent="0.25">
      <c r="A20" s="2">
        <v>45695</v>
      </c>
      <c r="B20" t="s">
        <v>135</v>
      </c>
      <c r="C20" t="s">
        <v>136</v>
      </c>
      <c r="D20" t="s">
        <v>94</v>
      </c>
      <c r="E20" t="s">
        <v>101</v>
      </c>
      <c r="F20" t="s">
        <v>105</v>
      </c>
      <c r="G20" t="s">
        <v>16</v>
      </c>
    </row>
    <row r="21" spans="1:7" x14ac:dyDescent="0.25">
      <c r="A21" s="2">
        <v>45700</v>
      </c>
      <c r="B21" t="s">
        <v>137</v>
      </c>
      <c r="C21" t="s">
        <v>138</v>
      </c>
      <c r="D21" t="s">
        <v>95</v>
      </c>
      <c r="E21" t="s">
        <v>95</v>
      </c>
      <c r="F21" t="s">
        <v>96</v>
      </c>
      <c r="G21" t="s">
        <v>12</v>
      </c>
    </row>
    <row r="22" spans="1:7" x14ac:dyDescent="0.25">
      <c r="A22" s="2">
        <v>45692</v>
      </c>
      <c r="B22" t="s">
        <v>139</v>
      </c>
      <c r="C22" t="s">
        <v>140</v>
      </c>
      <c r="D22" t="s">
        <v>95</v>
      </c>
      <c r="E22" t="s">
        <v>101</v>
      </c>
      <c r="F22" t="s">
        <v>96</v>
      </c>
      <c r="G22" t="s">
        <v>12</v>
      </c>
    </row>
    <row r="23" spans="1:7" x14ac:dyDescent="0.25">
      <c r="A23" s="2">
        <v>45722</v>
      </c>
      <c r="B23" t="s">
        <v>97</v>
      </c>
      <c r="C23" t="s">
        <v>141</v>
      </c>
      <c r="D23" t="s">
        <v>108</v>
      </c>
      <c r="E23" t="s">
        <v>101</v>
      </c>
      <c r="F23" t="s">
        <v>105</v>
      </c>
      <c r="G23" t="s">
        <v>16</v>
      </c>
    </row>
    <row r="24" spans="1:7" x14ac:dyDescent="0.25">
      <c r="A24" s="2">
        <v>45772</v>
      </c>
      <c r="B24" t="s">
        <v>131</v>
      </c>
      <c r="C24" t="s">
        <v>142</v>
      </c>
      <c r="D24" t="s">
        <v>108</v>
      </c>
      <c r="E24" t="s">
        <v>95</v>
      </c>
      <c r="F24" t="s">
        <v>105</v>
      </c>
      <c r="G24" t="s">
        <v>12</v>
      </c>
    </row>
    <row r="25" spans="1:7" x14ac:dyDescent="0.25">
      <c r="A25" s="2">
        <v>45666</v>
      </c>
      <c r="B25" t="s">
        <v>143</v>
      </c>
      <c r="C25" t="s">
        <v>144</v>
      </c>
      <c r="D25" t="s">
        <v>95</v>
      </c>
      <c r="E25" t="s">
        <v>101</v>
      </c>
      <c r="F25" t="s">
        <v>96</v>
      </c>
      <c r="G25" t="s">
        <v>12</v>
      </c>
    </row>
    <row r="26" spans="1:7" x14ac:dyDescent="0.25">
      <c r="A26" s="2">
        <v>45692</v>
      </c>
      <c r="B26" t="s">
        <v>145</v>
      </c>
      <c r="C26" t="s">
        <v>146</v>
      </c>
      <c r="D26" t="s">
        <v>108</v>
      </c>
      <c r="E26" t="s">
        <v>101</v>
      </c>
      <c r="F26" t="s">
        <v>96</v>
      </c>
      <c r="G26" t="s">
        <v>16</v>
      </c>
    </row>
    <row r="27" spans="1:7" x14ac:dyDescent="0.25">
      <c r="A27" s="2">
        <v>45716</v>
      </c>
      <c r="B27" t="s">
        <v>139</v>
      </c>
      <c r="C27" t="s">
        <v>147</v>
      </c>
      <c r="D27" t="s">
        <v>108</v>
      </c>
      <c r="E27" t="s">
        <v>108</v>
      </c>
      <c r="F27" t="s">
        <v>102</v>
      </c>
      <c r="G27" t="s">
        <v>12</v>
      </c>
    </row>
    <row r="28" spans="1:7" x14ac:dyDescent="0.25">
      <c r="A28" s="2">
        <v>45701</v>
      </c>
      <c r="B28" t="s">
        <v>148</v>
      </c>
      <c r="C28" t="s">
        <v>149</v>
      </c>
      <c r="D28" t="s">
        <v>95</v>
      </c>
      <c r="E28" t="s">
        <v>101</v>
      </c>
      <c r="F28" t="s">
        <v>96</v>
      </c>
      <c r="G28" t="s">
        <v>16</v>
      </c>
    </row>
    <row r="29" spans="1:7" x14ac:dyDescent="0.25">
      <c r="A29" s="2">
        <v>45838</v>
      </c>
      <c r="B29" t="s">
        <v>150</v>
      </c>
      <c r="C29" t="s">
        <v>151</v>
      </c>
      <c r="D29" t="s">
        <v>108</v>
      </c>
      <c r="E29" t="s">
        <v>108</v>
      </c>
      <c r="F29" t="s">
        <v>105</v>
      </c>
      <c r="G29" t="s">
        <v>16</v>
      </c>
    </row>
    <row r="30" spans="1:7" x14ac:dyDescent="0.25">
      <c r="A30" s="2">
        <v>45837</v>
      </c>
      <c r="B30" t="s">
        <v>152</v>
      </c>
      <c r="C30" t="s">
        <v>153</v>
      </c>
      <c r="D30" t="s">
        <v>95</v>
      </c>
      <c r="E30" t="s">
        <v>95</v>
      </c>
      <c r="F30" t="s">
        <v>96</v>
      </c>
      <c r="G30" t="s">
        <v>12</v>
      </c>
    </row>
    <row r="31" spans="1:7" x14ac:dyDescent="0.25">
      <c r="A31" s="2">
        <v>45777</v>
      </c>
      <c r="B31" t="s">
        <v>154</v>
      </c>
      <c r="C31" t="s">
        <v>155</v>
      </c>
      <c r="D31" t="s">
        <v>95</v>
      </c>
      <c r="E31" t="s">
        <v>101</v>
      </c>
      <c r="F31" t="s">
        <v>122</v>
      </c>
      <c r="G31" t="s">
        <v>12</v>
      </c>
    </row>
    <row r="32" spans="1:7" x14ac:dyDescent="0.25">
      <c r="A32" s="2">
        <v>45678</v>
      </c>
      <c r="B32" t="s">
        <v>133</v>
      </c>
      <c r="C32" t="s">
        <v>156</v>
      </c>
      <c r="D32" t="s">
        <v>108</v>
      </c>
      <c r="E32" t="s">
        <v>95</v>
      </c>
      <c r="F32" t="s">
        <v>102</v>
      </c>
      <c r="G32" t="s">
        <v>16</v>
      </c>
    </row>
    <row r="33" spans="1:7" x14ac:dyDescent="0.25">
      <c r="A33" s="2">
        <v>45665</v>
      </c>
      <c r="B33" t="s">
        <v>157</v>
      </c>
      <c r="C33" t="s">
        <v>158</v>
      </c>
      <c r="D33" t="s">
        <v>94</v>
      </c>
      <c r="E33" t="s">
        <v>95</v>
      </c>
      <c r="F33" t="s">
        <v>105</v>
      </c>
      <c r="G33" t="s">
        <v>12</v>
      </c>
    </row>
    <row r="34" spans="1:7" x14ac:dyDescent="0.25">
      <c r="A34" s="2">
        <v>45707</v>
      </c>
      <c r="B34" t="s">
        <v>159</v>
      </c>
      <c r="C34" t="s">
        <v>160</v>
      </c>
      <c r="D34" t="s">
        <v>94</v>
      </c>
      <c r="E34" t="s">
        <v>95</v>
      </c>
      <c r="F34" t="s">
        <v>102</v>
      </c>
      <c r="G34" t="s">
        <v>12</v>
      </c>
    </row>
    <row r="35" spans="1:7" x14ac:dyDescent="0.25">
      <c r="A35" s="2">
        <v>45759</v>
      </c>
      <c r="B35" t="s">
        <v>154</v>
      </c>
      <c r="C35" t="s">
        <v>161</v>
      </c>
      <c r="D35" t="s">
        <v>94</v>
      </c>
      <c r="E35" t="s">
        <v>95</v>
      </c>
      <c r="F35" t="s">
        <v>102</v>
      </c>
      <c r="G35" t="s">
        <v>12</v>
      </c>
    </row>
    <row r="36" spans="1:7" x14ac:dyDescent="0.25">
      <c r="A36" s="2">
        <v>45741</v>
      </c>
      <c r="B36" t="s">
        <v>162</v>
      </c>
      <c r="C36" t="s">
        <v>163</v>
      </c>
      <c r="D36" t="s">
        <v>108</v>
      </c>
      <c r="E36" t="s">
        <v>101</v>
      </c>
      <c r="F36" t="s">
        <v>105</v>
      </c>
      <c r="G36" t="s">
        <v>12</v>
      </c>
    </row>
    <row r="37" spans="1:7" x14ac:dyDescent="0.25">
      <c r="A37" s="2">
        <v>45670</v>
      </c>
      <c r="B37" t="s">
        <v>164</v>
      </c>
      <c r="C37" t="s">
        <v>165</v>
      </c>
      <c r="D37" t="s">
        <v>108</v>
      </c>
      <c r="E37" t="s">
        <v>101</v>
      </c>
      <c r="F37" t="s">
        <v>122</v>
      </c>
      <c r="G37" t="s">
        <v>16</v>
      </c>
    </row>
    <row r="38" spans="1:7" x14ac:dyDescent="0.25">
      <c r="A38" s="2">
        <v>45794</v>
      </c>
      <c r="B38" t="s">
        <v>129</v>
      </c>
      <c r="C38" t="s">
        <v>166</v>
      </c>
      <c r="D38" t="s">
        <v>94</v>
      </c>
      <c r="E38" t="s">
        <v>101</v>
      </c>
      <c r="F38" t="s">
        <v>105</v>
      </c>
      <c r="G38" t="s">
        <v>16</v>
      </c>
    </row>
    <row r="39" spans="1:7" x14ac:dyDescent="0.25">
      <c r="A39" s="2">
        <v>45665</v>
      </c>
      <c r="B39" t="s">
        <v>167</v>
      </c>
      <c r="C39" t="s">
        <v>168</v>
      </c>
      <c r="D39" t="s">
        <v>95</v>
      </c>
      <c r="E39" t="s">
        <v>95</v>
      </c>
      <c r="F39" t="s">
        <v>96</v>
      </c>
      <c r="G39" t="s">
        <v>16</v>
      </c>
    </row>
    <row r="40" spans="1:7" x14ac:dyDescent="0.25">
      <c r="A40" s="2">
        <v>45810</v>
      </c>
      <c r="B40" t="s">
        <v>169</v>
      </c>
      <c r="C40" t="s">
        <v>170</v>
      </c>
      <c r="D40" t="s">
        <v>108</v>
      </c>
      <c r="E40" t="s">
        <v>101</v>
      </c>
      <c r="F40" t="s">
        <v>96</v>
      </c>
      <c r="G40" t="s">
        <v>12</v>
      </c>
    </row>
    <row r="41" spans="1:7" x14ac:dyDescent="0.25">
      <c r="A41" s="2">
        <v>45820</v>
      </c>
      <c r="B41" t="s">
        <v>171</v>
      </c>
      <c r="C41" t="s">
        <v>172</v>
      </c>
      <c r="D41" t="s">
        <v>108</v>
      </c>
      <c r="E41" t="s">
        <v>101</v>
      </c>
      <c r="F41" t="s">
        <v>96</v>
      </c>
      <c r="G41" t="s">
        <v>16</v>
      </c>
    </row>
    <row r="42" spans="1:7" x14ac:dyDescent="0.25">
      <c r="A42" s="2">
        <v>45694</v>
      </c>
      <c r="B42" t="s">
        <v>139</v>
      </c>
      <c r="C42" t="s">
        <v>173</v>
      </c>
      <c r="D42" t="s">
        <v>108</v>
      </c>
      <c r="E42" t="s">
        <v>95</v>
      </c>
      <c r="F42" t="s">
        <v>122</v>
      </c>
      <c r="G42" t="s">
        <v>16</v>
      </c>
    </row>
    <row r="43" spans="1:7" x14ac:dyDescent="0.25">
      <c r="A43" s="2">
        <v>45699</v>
      </c>
      <c r="B43" t="s">
        <v>110</v>
      </c>
      <c r="C43" t="s">
        <v>174</v>
      </c>
      <c r="D43" t="s">
        <v>94</v>
      </c>
      <c r="E43" t="s">
        <v>108</v>
      </c>
      <c r="F43" t="s">
        <v>102</v>
      </c>
      <c r="G43" t="s">
        <v>12</v>
      </c>
    </row>
    <row r="44" spans="1:7" x14ac:dyDescent="0.25">
      <c r="A44" s="2">
        <v>45785</v>
      </c>
      <c r="B44" t="s">
        <v>110</v>
      </c>
      <c r="C44" t="s">
        <v>175</v>
      </c>
      <c r="D44" t="s">
        <v>108</v>
      </c>
      <c r="E44" t="s">
        <v>108</v>
      </c>
      <c r="F44" t="s">
        <v>102</v>
      </c>
      <c r="G44" t="s">
        <v>16</v>
      </c>
    </row>
    <row r="45" spans="1:7" x14ac:dyDescent="0.25">
      <c r="A45" s="2">
        <v>45788</v>
      </c>
      <c r="B45" t="s">
        <v>176</v>
      </c>
      <c r="C45" t="s">
        <v>177</v>
      </c>
      <c r="D45" t="s">
        <v>95</v>
      </c>
      <c r="E45" t="s">
        <v>95</v>
      </c>
      <c r="F45" t="s">
        <v>96</v>
      </c>
      <c r="G45" t="s">
        <v>16</v>
      </c>
    </row>
    <row r="46" spans="1:7" x14ac:dyDescent="0.25">
      <c r="A46" s="2">
        <v>45833</v>
      </c>
      <c r="B46" t="s">
        <v>176</v>
      </c>
      <c r="C46" t="s">
        <v>178</v>
      </c>
      <c r="D46" t="s">
        <v>95</v>
      </c>
      <c r="E46" t="s">
        <v>101</v>
      </c>
      <c r="F46" t="s">
        <v>102</v>
      </c>
      <c r="G46" t="s">
        <v>16</v>
      </c>
    </row>
    <row r="47" spans="1:7" x14ac:dyDescent="0.25">
      <c r="A47" s="2">
        <v>45796</v>
      </c>
      <c r="B47" t="s">
        <v>179</v>
      </c>
      <c r="C47" t="s">
        <v>180</v>
      </c>
      <c r="D47" t="s">
        <v>108</v>
      </c>
      <c r="E47" t="s">
        <v>101</v>
      </c>
      <c r="F47" t="s">
        <v>96</v>
      </c>
      <c r="G47" t="s">
        <v>12</v>
      </c>
    </row>
    <row r="48" spans="1:7" x14ac:dyDescent="0.25">
      <c r="A48" s="2">
        <v>45764</v>
      </c>
      <c r="B48" t="s">
        <v>181</v>
      </c>
      <c r="C48" t="s">
        <v>182</v>
      </c>
      <c r="D48" t="s">
        <v>108</v>
      </c>
      <c r="E48" t="s">
        <v>108</v>
      </c>
      <c r="F48" t="s">
        <v>122</v>
      </c>
      <c r="G48" t="s">
        <v>16</v>
      </c>
    </row>
    <row r="49" spans="1:7" x14ac:dyDescent="0.25">
      <c r="A49" s="2">
        <v>45815</v>
      </c>
      <c r="B49" t="s">
        <v>183</v>
      </c>
      <c r="C49" t="s">
        <v>184</v>
      </c>
      <c r="D49" t="s">
        <v>94</v>
      </c>
      <c r="E49" t="s">
        <v>108</v>
      </c>
      <c r="F49" t="s">
        <v>96</v>
      </c>
      <c r="G49" t="s">
        <v>12</v>
      </c>
    </row>
    <row r="50" spans="1:7" x14ac:dyDescent="0.25">
      <c r="A50" s="2">
        <v>45693</v>
      </c>
      <c r="B50" t="s">
        <v>185</v>
      </c>
      <c r="C50" t="s">
        <v>186</v>
      </c>
      <c r="D50" t="s">
        <v>108</v>
      </c>
      <c r="E50" t="s">
        <v>101</v>
      </c>
      <c r="F50" t="s">
        <v>105</v>
      </c>
      <c r="G50" t="s">
        <v>16</v>
      </c>
    </row>
    <row r="51" spans="1:7" x14ac:dyDescent="0.25">
      <c r="A51" s="2">
        <v>45804</v>
      </c>
      <c r="B51" t="s">
        <v>187</v>
      </c>
      <c r="C51" t="s">
        <v>188</v>
      </c>
      <c r="D51" t="s">
        <v>108</v>
      </c>
      <c r="E51" t="s">
        <v>108</v>
      </c>
      <c r="F51" t="s">
        <v>105</v>
      </c>
      <c r="G51" t="s">
        <v>16</v>
      </c>
    </row>
    <row r="52" spans="1:7" x14ac:dyDescent="0.25">
      <c r="A52" s="2">
        <v>45680</v>
      </c>
      <c r="B52" t="s">
        <v>189</v>
      </c>
      <c r="C52" t="s">
        <v>190</v>
      </c>
      <c r="D52" t="s">
        <v>108</v>
      </c>
      <c r="E52" t="s">
        <v>95</v>
      </c>
      <c r="F52" t="s">
        <v>96</v>
      </c>
      <c r="G52" t="s">
        <v>16</v>
      </c>
    </row>
    <row r="53" spans="1:7" x14ac:dyDescent="0.25">
      <c r="A53" s="2">
        <v>45786</v>
      </c>
      <c r="B53" t="s">
        <v>191</v>
      </c>
      <c r="C53" t="s">
        <v>192</v>
      </c>
      <c r="D53" t="s">
        <v>108</v>
      </c>
      <c r="E53" t="s">
        <v>95</v>
      </c>
      <c r="F53" t="s">
        <v>96</v>
      </c>
      <c r="G53" t="s">
        <v>16</v>
      </c>
    </row>
    <row r="54" spans="1:7" x14ac:dyDescent="0.25">
      <c r="A54" s="2">
        <v>45773</v>
      </c>
      <c r="B54" t="s">
        <v>193</v>
      </c>
      <c r="C54" t="s">
        <v>194</v>
      </c>
      <c r="D54" t="s">
        <v>108</v>
      </c>
      <c r="E54" t="s">
        <v>101</v>
      </c>
      <c r="F54" t="s">
        <v>122</v>
      </c>
      <c r="G54" t="s">
        <v>16</v>
      </c>
    </row>
    <row r="55" spans="1:7" x14ac:dyDescent="0.25">
      <c r="A55" s="2">
        <v>45760</v>
      </c>
      <c r="B55" t="s">
        <v>120</v>
      </c>
      <c r="C55" t="s">
        <v>195</v>
      </c>
      <c r="D55" t="s">
        <v>94</v>
      </c>
      <c r="E55" t="s">
        <v>95</v>
      </c>
      <c r="F55" t="s">
        <v>105</v>
      </c>
      <c r="G55" t="s">
        <v>12</v>
      </c>
    </row>
    <row r="56" spans="1:7" x14ac:dyDescent="0.25">
      <c r="A56" s="2">
        <v>45676</v>
      </c>
      <c r="B56" t="s">
        <v>187</v>
      </c>
      <c r="C56" t="s">
        <v>196</v>
      </c>
      <c r="D56" t="s">
        <v>108</v>
      </c>
      <c r="E56" t="s">
        <v>101</v>
      </c>
      <c r="F56" t="s">
        <v>122</v>
      </c>
      <c r="G56" t="s">
        <v>12</v>
      </c>
    </row>
    <row r="57" spans="1:7" x14ac:dyDescent="0.25">
      <c r="A57" s="2">
        <v>45665</v>
      </c>
      <c r="B57" t="s">
        <v>197</v>
      </c>
      <c r="C57" t="s">
        <v>198</v>
      </c>
      <c r="D57" t="s">
        <v>94</v>
      </c>
      <c r="E57" t="s">
        <v>108</v>
      </c>
      <c r="F57" t="s">
        <v>96</v>
      </c>
      <c r="G57" t="s">
        <v>12</v>
      </c>
    </row>
    <row r="58" spans="1:7" x14ac:dyDescent="0.25">
      <c r="A58" s="2">
        <v>45806</v>
      </c>
      <c r="B58" t="s">
        <v>179</v>
      </c>
      <c r="C58" t="s">
        <v>199</v>
      </c>
      <c r="D58" t="s">
        <v>95</v>
      </c>
      <c r="E58" t="s">
        <v>101</v>
      </c>
      <c r="F58" t="s">
        <v>102</v>
      </c>
      <c r="G58" t="s">
        <v>12</v>
      </c>
    </row>
    <row r="59" spans="1:7" x14ac:dyDescent="0.25">
      <c r="A59" s="2">
        <v>45815</v>
      </c>
      <c r="B59" t="s">
        <v>200</v>
      </c>
      <c r="C59" t="s">
        <v>201</v>
      </c>
      <c r="D59" t="s">
        <v>108</v>
      </c>
      <c r="E59" t="s">
        <v>108</v>
      </c>
      <c r="F59" t="s">
        <v>105</v>
      </c>
      <c r="G59" t="s">
        <v>12</v>
      </c>
    </row>
    <row r="60" spans="1:7" x14ac:dyDescent="0.25">
      <c r="A60" s="2">
        <v>45731</v>
      </c>
      <c r="B60" t="s">
        <v>202</v>
      </c>
      <c r="C60" t="s">
        <v>203</v>
      </c>
      <c r="D60" t="s">
        <v>95</v>
      </c>
      <c r="E60" t="s">
        <v>95</v>
      </c>
      <c r="F60" t="s">
        <v>105</v>
      </c>
      <c r="G60" t="s">
        <v>16</v>
      </c>
    </row>
    <row r="61" spans="1:7" x14ac:dyDescent="0.25">
      <c r="A61" s="2">
        <v>45764</v>
      </c>
      <c r="B61" t="s">
        <v>183</v>
      </c>
      <c r="C61" t="s">
        <v>204</v>
      </c>
      <c r="D61" t="s">
        <v>95</v>
      </c>
      <c r="E61" t="s">
        <v>108</v>
      </c>
      <c r="F61" t="s">
        <v>105</v>
      </c>
      <c r="G61" t="s">
        <v>16</v>
      </c>
    </row>
    <row r="62" spans="1:7" x14ac:dyDescent="0.25">
      <c r="A62" s="2">
        <v>45733</v>
      </c>
      <c r="B62" t="s">
        <v>116</v>
      </c>
      <c r="C62" t="s">
        <v>205</v>
      </c>
      <c r="D62" t="s">
        <v>108</v>
      </c>
      <c r="E62" t="s">
        <v>101</v>
      </c>
      <c r="F62" t="s">
        <v>102</v>
      </c>
      <c r="G62" t="s">
        <v>12</v>
      </c>
    </row>
    <row r="63" spans="1:7" x14ac:dyDescent="0.25">
      <c r="A63" s="2">
        <v>45791</v>
      </c>
      <c r="B63" t="s">
        <v>206</v>
      </c>
      <c r="C63" t="s">
        <v>207</v>
      </c>
      <c r="D63" t="s">
        <v>94</v>
      </c>
      <c r="E63" t="s">
        <v>108</v>
      </c>
      <c r="F63" t="s">
        <v>102</v>
      </c>
      <c r="G63" t="s">
        <v>16</v>
      </c>
    </row>
    <row r="64" spans="1:7" x14ac:dyDescent="0.25">
      <c r="A64" s="2">
        <v>45710</v>
      </c>
      <c r="B64" t="s">
        <v>171</v>
      </c>
      <c r="C64" t="s">
        <v>208</v>
      </c>
      <c r="D64" t="s">
        <v>108</v>
      </c>
      <c r="E64" t="s">
        <v>101</v>
      </c>
      <c r="F64" t="s">
        <v>96</v>
      </c>
      <c r="G64" t="s">
        <v>12</v>
      </c>
    </row>
    <row r="65" spans="1:7" x14ac:dyDescent="0.25">
      <c r="A65" s="2">
        <v>45679</v>
      </c>
      <c r="B65" t="s">
        <v>137</v>
      </c>
      <c r="C65" t="s">
        <v>209</v>
      </c>
      <c r="D65" t="s">
        <v>94</v>
      </c>
      <c r="E65" t="s">
        <v>95</v>
      </c>
      <c r="F65" t="s">
        <v>105</v>
      </c>
      <c r="G65" t="s">
        <v>16</v>
      </c>
    </row>
    <row r="66" spans="1:7" x14ac:dyDescent="0.25">
      <c r="A66" s="2">
        <v>45682</v>
      </c>
      <c r="B66" t="s">
        <v>133</v>
      </c>
      <c r="C66" t="s">
        <v>210</v>
      </c>
      <c r="D66" t="s">
        <v>108</v>
      </c>
      <c r="E66" t="s">
        <v>108</v>
      </c>
      <c r="F66" t="s">
        <v>102</v>
      </c>
      <c r="G66" t="s">
        <v>12</v>
      </c>
    </row>
    <row r="67" spans="1:7" x14ac:dyDescent="0.25">
      <c r="A67" s="2">
        <v>45728</v>
      </c>
      <c r="B67" t="s">
        <v>211</v>
      </c>
      <c r="C67" t="s">
        <v>186</v>
      </c>
      <c r="D67" t="s">
        <v>95</v>
      </c>
      <c r="E67" t="s">
        <v>108</v>
      </c>
      <c r="F67" t="s">
        <v>105</v>
      </c>
      <c r="G67" t="s">
        <v>12</v>
      </c>
    </row>
    <row r="68" spans="1:7" x14ac:dyDescent="0.25">
      <c r="A68" s="2">
        <v>45800</v>
      </c>
      <c r="B68" t="s">
        <v>211</v>
      </c>
      <c r="C68" t="s">
        <v>212</v>
      </c>
      <c r="D68" t="s">
        <v>108</v>
      </c>
      <c r="E68" t="s">
        <v>101</v>
      </c>
      <c r="F68" t="s">
        <v>96</v>
      </c>
      <c r="G68" t="s">
        <v>12</v>
      </c>
    </row>
    <row r="69" spans="1:7" x14ac:dyDescent="0.25">
      <c r="A69" s="2">
        <v>45745</v>
      </c>
      <c r="B69" t="s">
        <v>213</v>
      </c>
      <c r="C69" t="s">
        <v>214</v>
      </c>
      <c r="D69" t="s">
        <v>95</v>
      </c>
      <c r="E69" t="s">
        <v>95</v>
      </c>
      <c r="F69" t="s">
        <v>122</v>
      </c>
      <c r="G69" t="s">
        <v>16</v>
      </c>
    </row>
    <row r="70" spans="1:7" x14ac:dyDescent="0.25">
      <c r="A70" s="2">
        <v>45679</v>
      </c>
      <c r="B70" t="s">
        <v>215</v>
      </c>
      <c r="C70" t="s">
        <v>216</v>
      </c>
      <c r="D70" t="s">
        <v>108</v>
      </c>
      <c r="E70" t="s">
        <v>95</v>
      </c>
      <c r="F70" t="s">
        <v>122</v>
      </c>
      <c r="G70" t="s">
        <v>16</v>
      </c>
    </row>
    <row r="71" spans="1:7" x14ac:dyDescent="0.25">
      <c r="A71" s="2">
        <v>45819</v>
      </c>
      <c r="B71" t="s">
        <v>217</v>
      </c>
      <c r="C71" t="s">
        <v>218</v>
      </c>
      <c r="D71" t="s">
        <v>108</v>
      </c>
      <c r="E71" t="s">
        <v>101</v>
      </c>
      <c r="F71" t="s">
        <v>105</v>
      </c>
      <c r="G71" t="s">
        <v>16</v>
      </c>
    </row>
    <row r="72" spans="1:7" x14ac:dyDescent="0.25">
      <c r="A72" s="2">
        <v>45700</v>
      </c>
      <c r="B72" t="s">
        <v>139</v>
      </c>
      <c r="C72" t="s">
        <v>219</v>
      </c>
      <c r="D72" t="s">
        <v>95</v>
      </c>
      <c r="E72" t="s">
        <v>101</v>
      </c>
      <c r="F72" t="s">
        <v>96</v>
      </c>
      <c r="G72" t="s">
        <v>16</v>
      </c>
    </row>
    <row r="73" spans="1:7" x14ac:dyDescent="0.25">
      <c r="A73" s="2">
        <v>45704</v>
      </c>
      <c r="B73" t="s">
        <v>220</v>
      </c>
      <c r="C73" t="s">
        <v>221</v>
      </c>
      <c r="D73" t="s">
        <v>94</v>
      </c>
      <c r="E73" t="s">
        <v>101</v>
      </c>
      <c r="F73" t="s">
        <v>105</v>
      </c>
      <c r="G73" t="s">
        <v>16</v>
      </c>
    </row>
    <row r="74" spans="1:7" x14ac:dyDescent="0.25">
      <c r="A74" s="2">
        <v>45775</v>
      </c>
      <c r="B74" t="s">
        <v>99</v>
      </c>
      <c r="C74" t="s">
        <v>222</v>
      </c>
      <c r="D74" t="s">
        <v>108</v>
      </c>
      <c r="E74" t="s">
        <v>108</v>
      </c>
      <c r="F74" t="s">
        <v>105</v>
      </c>
      <c r="G74" t="s">
        <v>12</v>
      </c>
    </row>
    <row r="75" spans="1:7" x14ac:dyDescent="0.25">
      <c r="A75" s="2">
        <v>45761</v>
      </c>
      <c r="B75" t="s">
        <v>223</v>
      </c>
      <c r="C75" t="s">
        <v>224</v>
      </c>
      <c r="D75" t="s">
        <v>108</v>
      </c>
      <c r="E75" t="s">
        <v>95</v>
      </c>
      <c r="F75" t="s">
        <v>105</v>
      </c>
      <c r="G75" t="s">
        <v>16</v>
      </c>
    </row>
    <row r="76" spans="1:7" x14ac:dyDescent="0.25">
      <c r="A76" s="2">
        <v>45830</v>
      </c>
      <c r="B76" t="s">
        <v>225</v>
      </c>
      <c r="C76" t="s">
        <v>226</v>
      </c>
      <c r="D76" t="s">
        <v>108</v>
      </c>
      <c r="E76" t="s">
        <v>95</v>
      </c>
      <c r="F76" t="s">
        <v>102</v>
      </c>
      <c r="G76" t="s">
        <v>16</v>
      </c>
    </row>
    <row r="77" spans="1:7" x14ac:dyDescent="0.25">
      <c r="A77" s="2">
        <v>45704</v>
      </c>
      <c r="B77" t="s">
        <v>213</v>
      </c>
      <c r="C77" t="s">
        <v>227</v>
      </c>
      <c r="D77" t="s">
        <v>95</v>
      </c>
      <c r="E77" t="s">
        <v>95</v>
      </c>
      <c r="F77" t="s">
        <v>122</v>
      </c>
      <c r="G77" t="s">
        <v>16</v>
      </c>
    </row>
    <row r="78" spans="1:7" x14ac:dyDescent="0.25">
      <c r="A78" s="2">
        <v>45791</v>
      </c>
      <c r="B78" t="s">
        <v>228</v>
      </c>
      <c r="C78" t="s">
        <v>229</v>
      </c>
      <c r="D78" t="s">
        <v>95</v>
      </c>
      <c r="E78" t="s">
        <v>95</v>
      </c>
      <c r="F78" t="s">
        <v>105</v>
      </c>
      <c r="G78" t="s">
        <v>12</v>
      </c>
    </row>
    <row r="79" spans="1:7" x14ac:dyDescent="0.25">
      <c r="A79" s="2">
        <v>45663</v>
      </c>
      <c r="B79" t="s">
        <v>114</v>
      </c>
      <c r="C79" t="s">
        <v>230</v>
      </c>
      <c r="D79" t="s">
        <v>94</v>
      </c>
      <c r="E79" t="s">
        <v>101</v>
      </c>
      <c r="F79" t="s">
        <v>102</v>
      </c>
      <c r="G79" t="s">
        <v>16</v>
      </c>
    </row>
    <row r="80" spans="1:7" x14ac:dyDescent="0.25">
      <c r="A80" s="2">
        <v>45676</v>
      </c>
      <c r="B80" t="s">
        <v>197</v>
      </c>
      <c r="C80" t="s">
        <v>231</v>
      </c>
      <c r="D80" t="s">
        <v>108</v>
      </c>
      <c r="E80" t="s">
        <v>95</v>
      </c>
      <c r="F80" t="s">
        <v>105</v>
      </c>
      <c r="G80" t="s">
        <v>16</v>
      </c>
    </row>
    <row r="81" spans="1:7" x14ac:dyDescent="0.25">
      <c r="A81" s="2">
        <v>45741</v>
      </c>
      <c r="B81" t="s">
        <v>189</v>
      </c>
      <c r="C81" t="s">
        <v>232</v>
      </c>
      <c r="D81" t="s">
        <v>95</v>
      </c>
      <c r="E81" t="s">
        <v>108</v>
      </c>
      <c r="F81" t="s">
        <v>122</v>
      </c>
      <c r="G81" t="s">
        <v>16</v>
      </c>
    </row>
    <row r="82" spans="1:7" x14ac:dyDescent="0.25">
      <c r="A82" s="2">
        <v>45731</v>
      </c>
      <c r="B82" t="s">
        <v>233</v>
      </c>
      <c r="C82" t="s">
        <v>234</v>
      </c>
      <c r="D82" t="s">
        <v>95</v>
      </c>
      <c r="E82" t="s">
        <v>108</v>
      </c>
      <c r="F82" t="s">
        <v>102</v>
      </c>
      <c r="G82" t="s">
        <v>16</v>
      </c>
    </row>
    <row r="83" spans="1:7" x14ac:dyDescent="0.25">
      <c r="A83" s="2">
        <v>45677</v>
      </c>
      <c r="B83" t="s">
        <v>171</v>
      </c>
      <c r="C83" t="s">
        <v>235</v>
      </c>
      <c r="D83" t="s">
        <v>94</v>
      </c>
      <c r="E83" t="s">
        <v>108</v>
      </c>
      <c r="F83" t="s">
        <v>122</v>
      </c>
      <c r="G83" t="s">
        <v>16</v>
      </c>
    </row>
    <row r="84" spans="1:7" x14ac:dyDescent="0.25">
      <c r="A84" s="2">
        <v>45701</v>
      </c>
      <c r="B84" t="s">
        <v>236</v>
      </c>
      <c r="C84" t="s">
        <v>237</v>
      </c>
      <c r="D84" t="s">
        <v>108</v>
      </c>
      <c r="E84" t="s">
        <v>108</v>
      </c>
      <c r="F84" t="s">
        <v>102</v>
      </c>
      <c r="G84" t="s">
        <v>12</v>
      </c>
    </row>
    <row r="85" spans="1:7" x14ac:dyDescent="0.25">
      <c r="A85" s="2">
        <v>45751</v>
      </c>
      <c r="B85" t="s">
        <v>106</v>
      </c>
      <c r="C85" t="s">
        <v>238</v>
      </c>
      <c r="D85" t="s">
        <v>95</v>
      </c>
      <c r="E85" t="s">
        <v>108</v>
      </c>
      <c r="F85" t="s">
        <v>96</v>
      </c>
      <c r="G85" t="s">
        <v>12</v>
      </c>
    </row>
    <row r="86" spans="1:7" x14ac:dyDescent="0.25">
      <c r="A86" s="2">
        <v>45789</v>
      </c>
      <c r="B86" t="s">
        <v>239</v>
      </c>
      <c r="C86" t="s">
        <v>240</v>
      </c>
      <c r="D86" t="s">
        <v>95</v>
      </c>
      <c r="E86" t="s">
        <v>95</v>
      </c>
      <c r="F86" t="s">
        <v>122</v>
      </c>
      <c r="G86" t="s">
        <v>16</v>
      </c>
    </row>
    <row r="87" spans="1:7" x14ac:dyDescent="0.25">
      <c r="A87" s="2">
        <v>45760</v>
      </c>
      <c r="B87" t="s">
        <v>241</v>
      </c>
      <c r="C87" t="s">
        <v>242</v>
      </c>
      <c r="D87" t="s">
        <v>108</v>
      </c>
      <c r="E87" t="s">
        <v>108</v>
      </c>
      <c r="F87" t="s">
        <v>96</v>
      </c>
      <c r="G87" t="s">
        <v>16</v>
      </c>
    </row>
    <row r="88" spans="1:7" x14ac:dyDescent="0.25">
      <c r="A88" s="2">
        <v>45696</v>
      </c>
      <c r="B88" t="s">
        <v>211</v>
      </c>
      <c r="C88" t="s">
        <v>243</v>
      </c>
      <c r="D88" t="s">
        <v>95</v>
      </c>
      <c r="E88" t="s">
        <v>101</v>
      </c>
      <c r="F88" t="s">
        <v>105</v>
      </c>
      <c r="G88" t="s">
        <v>12</v>
      </c>
    </row>
    <row r="89" spans="1:7" x14ac:dyDescent="0.25">
      <c r="A89" s="2">
        <v>45832</v>
      </c>
      <c r="B89" t="s">
        <v>244</v>
      </c>
      <c r="C89" t="s">
        <v>245</v>
      </c>
      <c r="D89" t="s">
        <v>94</v>
      </c>
      <c r="E89" t="s">
        <v>95</v>
      </c>
      <c r="F89" t="s">
        <v>122</v>
      </c>
      <c r="G89" t="s">
        <v>12</v>
      </c>
    </row>
    <row r="90" spans="1:7" x14ac:dyDescent="0.25">
      <c r="A90" s="2">
        <v>45711</v>
      </c>
      <c r="B90" t="s">
        <v>150</v>
      </c>
      <c r="C90" t="s">
        <v>246</v>
      </c>
      <c r="D90" t="s">
        <v>108</v>
      </c>
      <c r="E90" t="s">
        <v>108</v>
      </c>
      <c r="F90" t="s">
        <v>122</v>
      </c>
      <c r="G90" t="s">
        <v>12</v>
      </c>
    </row>
    <row r="91" spans="1:7" x14ac:dyDescent="0.25">
      <c r="A91" s="2">
        <v>45816</v>
      </c>
      <c r="B91" t="s">
        <v>179</v>
      </c>
      <c r="C91" t="s">
        <v>247</v>
      </c>
      <c r="D91" t="s">
        <v>94</v>
      </c>
      <c r="E91" t="s">
        <v>95</v>
      </c>
      <c r="F91" t="s">
        <v>96</v>
      </c>
      <c r="G91" t="s">
        <v>16</v>
      </c>
    </row>
    <row r="92" spans="1:7" x14ac:dyDescent="0.25">
      <c r="A92" s="2">
        <v>45658</v>
      </c>
      <c r="B92" t="s">
        <v>248</v>
      </c>
      <c r="C92" t="s">
        <v>249</v>
      </c>
      <c r="D92" t="s">
        <v>95</v>
      </c>
      <c r="E92" t="s">
        <v>101</v>
      </c>
      <c r="F92" t="s">
        <v>102</v>
      </c>
      <c r="G92" t="s">
        <v>12</v>
      </c>
    </row>
    <row r="93" spans="1:7" x14ac:dyDescent="0.25">
      <c r="A93" s="2">
        <v>45774</v>
      </c>
      <c r="B93" t="s">
        <v>183</v>
      </c>
      <c r="C93" t="s">
        <v>250</v>
      </c>
      <c r="D93" t="s">
        <v>108</v>
      </c>
      <c r="E93" t="s">
        <v>101</v>
      </c>
      <c r="F93" t="s">
        <v>105</v>
      </c>
      <c r="G93" t="s">
        <v>16</v>
      </c>
    </row>
    <row r="94" spans="1:7" x14ac:dyDescent="0.25">
      <c r="A94" s="2">
        <v>45662</v>
      </c>
      <c r="B94" t="s">
        <v>114</v>
      </c>
      <c r="C94" t="s">
        <v>251</v>
      </c>
      <c r="D94" t="s">
        <v>108</v>
      </c>
      <c r="E94" t="s">
        <v>108</v>
      </c>
      <c r="F94" t="s">
        <v>96</v>
      </c>
      <c r="G94" t="s">
        <v>12</v>
      </c>
    </row>
    <row r="95" spans="1:7" x14ac:dyDescent="0.25">
      <c r="A95" s="2">
        <v>45728</v>
      </c>
      <c r="B95" t="s">
        <v>154</v>
      </c>
      <c r="C95" t="s">
        <v>252</v>
      </c>
      <c r="D95" t="s">
        <v>95</v>
      </c>
      <c r="E95" t="s">
        <v>95</v>
      </c>
      <c r="F95" t="s">
        <v>102</v>
      </c>
      <c r="G95" t="s">
        <v>16</v>
      </c>
    </row>
    <row r="96" spans="1:7" x14ac:dyDescent="0.25">
      <c r="A96" s="2">
        <v>45669</v>
      </c>
      <c r="B96" t="s">
        <v>110</v>
      </c>
      <c r="C96" t="s">
        <v>253</v>
      </c>
      <c r="D96" t="s">
        <v>94</v>
      </c>
      <c r="E96" t="s">
        <v>101</v>
      </c>
      <c r="F96" t="s">
        <v>102</v>
      </c>
      <c r="G96" t="s">
        <v>16</v>
      </c>
    </row>
    <row r="97" spans="1:7" x14ac:dyDescent="0.25">
      <c r="A97" s="2">
        <v>45734</v>
      </c>
      <c r="B97" t="s">
        <v>254</v>
      </c>
      <c r="C97" t="s">
        <v>255</v>
      </c>
      <c r="D97" t="s">
        <v>95</v>
      </c>
      <c r="E97" t="s">
        <v>108</v>
      </c>
      <c r="F97" t="s">
        <v>102</v>
      </c>
      <c r="G97" t="s">
        <v>16</v>
      </c>
    </row>
    <row r="98" spans="1:7" x14ac:dyDescent="0.25">
      <c r="A98" s="2">
        <v>45824</v>
      </c>
      <c r="B98" t="s">
        <v>131</v>
      </c>
      <c r="C98" t="s">
        <v>256</v>
      </c>
      <c r="D98" t="s">
        <v>94</v>
      </c>
      <c r="E98" t="s">
        <v>95</v>
      </c>
      <c r="F98" t="s">
        <v>96</v>
      </c>
      <c r="G98" t="s">
        <v>12</v>
      </c>
    </row>
    <row r="99" spans="1:7" x14ac:dyDescent="0.25">
      <c r="A99" s="2">
        <v>45689</v>
      </c>
      <c r="B99" t="s">
        <v>145</v>
      </c>
      <c r="C99" t="s">
        <v>257</v>
      </c>
      <c r="D99" t="s">
        <v>94</v>
      </c>
      <c r="E99" t="s">
        <v>101</v>
      </c>
      <c r="F99" t="s">
        <v>96</v>
      </c>
      <c r="G99" t="s">
        <v>12</v>
      </c>
    </row>
    <row r="100" spans="1:7" x14ac:dyDescent="0.25">
      <c r="A100" s="2">
        <v>45810</v>
      </c>
      <c r="B100" t="s">
        <v>152</v>
      </c>
      <c r="C100" t="s">
        <v>258</v>
      </c>
      <c r="D100" t="s">
        <v>94</v>
      </c>
      <c r="E100" t="s">
        <v>101</v>
      </c>
      <c r="F100" t="s">
        <v>122</v>
      </c>
      <c r="G100" t="s">
        <v>12</v>
      </c>
    </row>
    <row r="101" spans="1:7" x14ac:dyDescent="0.25">
      <c r="A101" s="2">
        <v>45754</v>
      </c>
      <c r="B101" t="s">
        <v>259</v>
      </c>
      <c r="C101" t="s">
        <v>260</v>
      </c>
      <c r="D101" t="s">
        <v>94</v>
      </c>
      <c r="E101" t="s">
        <v>101</v>
      </c>
      <c r="F101" t="s">
        <v>122</v>
      </c>
      <c r="G10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>
      <selection activeCell="B5" sqref="B5"/>
    </sheetView>
  </sheetViews>
  <sheetFormatPr defaultRowHeight="15" x14ac:dyDescent="0.25"/>
  <cols>
    <col min="1" max="1" width="28.85546875" bestFit="1" customWidth="1"/>
    <col min="2" max="2" width="12.5703125" bestFit="1" customWidth="1"/>
  </cols>
  <sheetData>
    <row r="1" spans="1:2" x14ac:dyDescent="0.25">
      <c r="A1" s="1" t="s">
        <v>261</v>
      </c>
      <c r="B1" s="1" t="s">
        <v>262</v>
      </c>
    </row>
    <row r="2" spans="1:2" x14ac:dyDescent="0.25">
      <c r="A2" t="s">
        <v>263</v>
      </c>
      <c r="B2">
        <v>120</v>
      </c>
    </row>
    <row r="3" spans="1:2" x14ac:dyDescent="0.25">
      <c r="A3" t="s">
        <v>264</v>
      </c>
      <c r="B3">
        <v>51.67</v>
      </c>
    </row>
    <row r="4" spans="1:2" x14ac:dyDescent="0.25">
      <c r="A4" t="s">
        <v>265</v>
      </c>
      <c r="B4">
        <v>3.09</v>
      </c>
    </row>
    <row r="5" spans="1:2" x14ac:dyDescent="0.25">
      <c r="A5" t="s">
        <v>266</v>
      </c>
      <c r="B5" s="13">
        <v>164235.38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RowHeight="15" x14ac:dyDescent="0.25"/>
  <cols>
    <col min="1" max="1" width="18" bestFit="1" customWidth="1"/>
    <col min="2" max="2" width="11.5703125" bestFit="1" customWidth="1"/>
  </cols>
  <sheetData>
    <row r="1" spans="1:2" x14ac:dyDescent="0.25">
      <c r="A1" s="1" t="s">
        <v>2</v>
      </c>
      <c r="B1" s="1" t="s">
        <v>267</v>
      </c>
    </row>
    <row r="2" spans="1:2" x14ac:dyDescent="0.25">
      <c r="A2" t="s">
        <v>26</v>
      </c>
      <c r="B2">
        <v>23</v>
      </c>
    </row>
    <row r="3" spans="1:2" x14ac:dyDescent="0.25">
      <c r="A3" t="s">
        <v>18</v>
      </c>
      <c r="B3">
        <v>23</v>
      </c>
    </row>
    <row r="4" spans="1:2" x14ac:dyDescent="0.25">
      <c r="A4" t="s">
        <v>9</v>
      </c>
      <c r="B4">
        <v>25</v>
      </c>
    </row>
    <row r="5" spans="1:2" x14ac:dyDescent="0.25">
      <c r="A5" t="s">
        <v>28</v>
      </c>
      <c r="B5">
        <v>19</v>
      </c>
    </row>
    <row r="6" spans="1:2" x14ac:dyDescent="0.25">
      <c r="A6" t="s">
        <v>14</v>
      </c>
      <c r="B6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workbookViewId="0"/>
  </sheetViews>
  <sheetFormatPr defaultRowHeight="15" x14ac:dyDescent="0.25"/>
  <cols>
    <col min="1" max="1" width="21.140625" bestFit="1" customWidth="1"/>
    <col min="2" max="2" width="11.5703125" bestFit="1" customWidth="1"/>
  </cols>
  <sheetData>
    <row r="1" spans="1:2" x14ac:dyDescent="0.25">
      <c r="A1" s="1" t="s">
        <v>3</v>
      </c>
      <c r="B1" s="1" t="s">
        <v>267</v>
      </c>
    </row>
    <row r="2" spans="1:2" x14ac:dyDescent="0.25">
      <c r="A2" t="s">
        <v>15</v>
      </c>
      <c r="B2">
        <v>33</v>
      </c>
    </row>
    <row r="3" spans="1:2" x14ac:dyDescent="0.25">
      <c r="A3" t="s">
        <v>10</v>
      </c>
      <c r="B3">
        <v>47</v>
      </c>
    </row>
    <row r="4" spans="1:2" x14ac:dyDescent="0.25">
      <c r="A4" t="s">
        <v>19</v>
      </c>
      <c r="B4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/>
  </sheetViews>
  <sheetFormatPr defaultRowHeight="15" x14ac:dyDescent="0.25"/>
  <cols>
    <col min="1" max="1" width="7.7109375" bestFit="1" customWidth="1"/>
    <col min="2" max="2" width="11.5703125" bestFit="1" customWidth="1"/>
  </cols>
  <sheetData>
    <row r="1" spans="1:2" x14ac:dyDescent="0.25">
      <c r="A1" s="1" t="s">
        <v>268</v>
      </c>
      <c r="B1" s="1" t="s">
        <v>267</v>
      </c>
    </row>
    <row r="2" spans="1:2" x14ac:dyDescent="0.25">
      <c r="A2" t="s">
        <v>269</v>
      </c>
      <c r="B2">
        <v>23</v>
      </c>
    </row>
    <row r="3" spans="1:2" x14ac:dyDescent="0.25">
      <c r="A3" t="s">
        <v>270</v>
      </c>
      <c r="B3">
        <v>13</v>
      </c>
    </row>
    <row r="4" spans="1:2" x14ac:dyDescent="0.25">
      <c r="A4" t="s">
        <v>271</v>
      </c>
      <c r="B4">
        <v>33</v>
      </c>
    </row>
    <row r="5" spans="1:2" x14ac:dyDescent="0.25">
      <c r="A5" t="s">
        <v>272</v>
      </c>
      <c r="B5">
        <v>12</v>
      </c>
    </row>
    <row r="6" spans="1:2" x14ac:dyDescent="0.25">
      <c r="A6" t="s">
        <v>273</v>
      </c>
      <c r="B6">
        <v>23</v>
      </c>
    </row>
    <row r="7" spans="1:2" x14ac:dyDescent="0.25">
      <c r="A7" t="s">
        <v>274</v>
      </c>
      <c r="B7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2" width="32" customWidth="1"/>
    <col min="3" max="3" width="21" customWidth="1"/>
    <col min="4" max="5" width="32" customWidth="1"/>
    <col min="6" max="7" width="2" customWidth="1"/>
  </cols>
  <sheetData>
    <row r="1" spans="1:5" ht="18.75" x14ac:dyDescent="0.3">
      <c r="A1" s="3" t="s">
        <v>275</v>
      </c>
    </row>
    <row r="3" spans="1:5" x14ac:dyDescent="0.25">
      <c r="A3" s="4" t="s">
        <v>263</v>
      </c>
      <c r="B3" s="5">
        <f>COUNTA(BOM_Error_Data!A2:A121)</f>
        <v>120</v>
      </c>
    </row>
    <row r="4" spans="1:5" x14ac:dyDescent="0.25">
      <c r="A4" s="4" t="s">
        <v>264</v>
      </c>
      <c r="B4" s="6">
        <f>IFERROR(COUNTIF(BOM_Error_Data!G2:G121,"Yes")/COUNTA(BOM_Error_Data!A2:A121)*100,0)</f>
        <v>51.666666666666671</v>
      </c>
    </row>
    <row r="5" spans="1:5" x14ac:dyDescent="0.25">
      <c r="A5" s="4" t="s">
        <v>265</v>
      </c>
      <c r="B5" s="6">
        <f>IFERROR(AVERAGE(BOM_Error_Data!F2:F121),0)</f>
        <v>3.0915000000000008</v>
      </c>
    </row>
    <row r="6" spans="1:5" x14ac:dyDescent="0.25">
      <c r="A6" s="4" t="s">
        <v>266</v>
      </c>
      <c r="B6" s="7">
        <f>IFERROR(SUM(BOM_Error_Data!H2:H121),0)</f>
        <v>164235.38000000003</v>
      </c>
    </row>
    <row r="9" spans="1:5" ht="18.75" x14ac:dyDescent="0.3">
      <c r="A9" s="3" t="s">
        <v>276</v>
      </c>
    </row>
    <row r="10" spans="1:5" x14ac:dyDescent="0.25">
      <c r="A10" s="8" t="s">
        <v>2</v>
      </c>
      <c r="B10" s="8" t="s">
        <v>277</v>
      </c>
      <c r="D10" s="8" t="s">
        <v>3</v>
      </c>
      <c r="E10" s="8" t="s">
        <v>277</v>
      </c>
    </row>
    <row r="11" spans="1:5" x14ac:dyDescent="0.25">
      <c r="A11" t="s">
        <v>26</v>
      </c>
      <c r="B11">
        <f>COUNTIF(BOM_Error_Data!C2:C121,A11)</f>
        <v>23</v>
      </c>
      <c r="D11" t="s">
        <v>15</v>
      </c>
      <c r="E11">
        <f>COUNTIF(BOM_Error_Data!D2:D121,D11)</f>
        <v>33</v>
      </c>
    </row>
    <row r="12" spans="1:5" x14ac:dyDescent="0.25">
      <c r="A12" t="s">
        <v>18</v>
      </c>
      <c r="B12">
        <f>COUNTIF(BOM_Error_Data!C2:C121,A12)</f>
        <v>23</v>
      </c>
      <c r="D12" t="s">
        <v>10</v>
      </c>
      <c r="E12">
        <f>COUNTIF(BOM_Error_Data!D2:D121,D12)</f>
        <v>47</v>
      </c>
    </row>
    <row r="13" spans="1:5" x14ac:dyDescent="0.25">
      <c r="A13" t="s">
        <v>9</v>
      </c>
      <c r="B13">
        <f>COUNTIF(BOM_Error_Data!C2:C121,A13)</f>
        <v>25</v>
      </c>
      <c r="D13" t="s">
        <v>19</v>
      </c>
      <c r="E13">
        <f>COUNTIF(BOM_Error_Data!D2:D121,D13)</f>
        <v>40</v>
      </c>
    </row>
    <row r="14" spans="1:5" x14ac:dyDescent="0.25">
      <c r="A14" t="s">
        <v>28</v>
      </c>
      <c r="B14">
        <f>COUNTIF(BOM_Error_Data!C2:C121,A14)</f>
        <v>19</v>
      </c>
    </row>
    <row r="15" spans="1:5" x14ac:dyDescent="0.25">
      <c r="A15" t="s">
        <v>14</v>
      </c>
      <c r="B15">
        <f>COUNTIF(BOM_Error_Data!C2:C121,A15)</f>
        <v>30</v>
      </c>
    </row>
    <row r="20" spans="1:4" ht="18.75" x14ac:dyDescent="0.3">
      <c r="A20" s="3" t="s">
        <v>278</v>
      </c>
    </row>
    <row r="21" spans="1:4" x14ac:dyDescent="0.25">
      <c r="A21" s="9" t="s">
        <v>268</v>
      </c>
      <c r="B21" s="9" t="s">
        <v>279</v>
      </c>
      <c r="C21" s="9" t="s">
        <v>280</v>
      </c>
      <c r="D21" s="9" t="s">
        <v>267</v>
      </c>
    </row>
    <row r="22" spans="1:4" x14ac:dyDescent="0.25">
      <c r="A22" t="s">
        <v>281</v>
      </c>
      <c r="B22" s="10">
        <v>45658</v>
      </c>
      <c r="C22" s="10">
        <v>45689</v>
      </c>
      <c r="D22">
        <f>COUNTIFS(BOM_Error_Data!A2:A121,"&gt;="&amp;B22,BOM_Error_Data!A2:A121,"&lt;"&amp;C22)</f>
        <v>23</v>
      </c>
    </row>
    <row r="23" spans="1:4" x14ac:dyDescent="0.25">
      <c r="A23" t="s">
        <v>282</v>
      </c>
      <c r="B23" s="10">
        <v>45689</v>
      </c>
      <c r="C23" s="10">
        <v>45717</v>
      </c>
      <c r="D23">
        <f>COUNTIFS(BOM_Error_Data!A2:A121,"&gt;="&amp;B23,BOM_Error_Data!A2:A121,"&lt;"&amp;C23)</f>
        <v>13</v>
      </c>
    </row>
    <row r="24" spans="1:4" x14ac:dyDescent="0.25">
      <c r="A24" t="s">
        <v>283</v>
      </c>
      <c r="B24" s="10">
        <v>45717</v>
      </c>
      <c r="C24" s="10">
        <v>45748</v>
      </c>
      <c r="D24">
        <f>COUNTIFS(BOM_Error_Data!A2:A121,"&gt;="&amp;B24,BOM_Error_Data!A2:A121,"&lt;"&amp;C24)</f>
        <v>33</v>
      </c>
    </row>
    <row r="25" spans="1:4" x14ac:dyDescent="0.25">
      <c r="A25" t="s">
        <v>284</v>
      </c>
      <c r="B25" s="10">
        <v>45748</v>
      </c>
      <c r="C25" s="10">
        <v>45778</v>
      </c>
      <c r="D25">
        <f>COUNTIFS(BOM_Error_Data!A2:A121,"&gt;="&amp;B25,BOM_Error_Data!A2:A121,"&lt;"&amp;C25)</f>
        <v>12</v>
      </c>
    </row>
    <row r="26" spans="1:4" x14ac:dyDescent="0.25">
      <c r="A26" t="s">
        <v>285</v>
      </c>
      <c r="B26" s="10">
        <v>45778</v>
      </c>
      <c r="C26" s="10">
        <v>45809</v>
      </c>
      <c r="D26">
        <f>COUNTIFS(BOM_Error_Data!A2:A121,"&gt;="&amp;B26,BOM_Error_Data!A2:A121,"&lt;"&amp;C26)</f>
        <v>23</v>
      </c>
    </row>
    <row r="27" spans="1:4" x14ac:dyDescent="0.25">
      <c r="A27" t="s">
        <v>286</v>
      </c>
      <c r="B27" s="10">
        <v>45809</v>
      </c>
      <c r="C27" s="10">
        <v>45839</v>
      </c>
      <c r="D27">
        <f>COUNTIFS(BOM_Error_Data!A2:A121,"&gt;="&amp;B27,BOM_Error_Data!A2:A121,"&lt;"&amp;C27)</f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>
      <pane ySplit="8" topLeftCell="A9" activePane="bottomLeft" state="frozen"/>
      <selection pane="bottomLeft" activeCell="I5" sqref="I5"/>
    </sheetView>
  </sheetViews>
  <sheetFormatPr defaultRowHeight="15" x14ac:dyDescent="0.25"/>
  <cols>
    <col min="1" max="1" width="28" customWidth="1"/>
    <col min="2" max="2" width="18" customWidth="1"/>
    <col min="4" max="4" width="18" customWidth="1"/>
    <col min="5" max="5" width="26" customWidth="1"/>
  </cols>
  <sheetData>
    <row r="1" spans="1:5" ht="18.75" x14ac:dyDescent="0.3">
      <c r="A1" s="3" t="s">
        <v>287</v>
      </c>
    </row>
    <row r="3" spans="1:5" x14ac:dyDescent="0.25">
      <c r="A3" s="8" t="s">
        <v>288</v>
      </c>
      <c r="B3" s="8" t="s">
        <v>262</v>
      </c>
      <c r="D3" s="11" t="s">
        <v>289</v>
      </c>
    </row>
    <row r="4" spans="1:5" x14ac:dyDescent="0.25">
      <c r="A4" t="str">
        <f>Calc_Tables!A3</f>
        <v>Total BOM Errors</v>
      </c>
      <c r="B4" s="5">
        <f>Calc_Tables!B3</f>
        <v>120</v>
      </c>
      <c r="D4" t="s">
        <v>290</v>
      </c>
      <c r="E4" t="str">
        <f>INDEX(Calc_Tables!A11:A15,MATCH(MAX(Calc_Tables!B11:B15),Calc_Tables!B11:B15,0))</f>
        <v>Wrong Revision</v>
      </c>
    </row>
    <row r="5" spans="1:5" x14ac:dyDescent="0.25">
      <c r="A5" t="str">
        <f>Calc_Tables!A4</f>
        <v>Rework Rate (%)</v>
      </c>
      <c r="B5" s="6">
        <f>Calc_Tables!B4</f>
        <v>51.666666666666671</v>
      </c>
      <c r="D5" t="s">
        <v>291</v>
      </c>
      <c r="E5" t="str">
        <f>INDEX(Calc_Tables!D11:D13,MATCH(MAX(Calc_Tables!E11:E13),Calc_Tables!E11:E13,0))</f>
        <v>Pre-Release Review</v>
      </c>
    </row>
    <row r="6" spans="1:5" x14ac:dyDescent="0.25">
      <c r="A6" t="str">
        <f>Calc_Tables!A5</f>
        <v>Average Resolution Time (hrs)</v>
      </c>
      <c r="B6" s="6">
        <f>Calc_Tables!B5</f>
        <v>3.0915000000000008</v>
      </c>
      <c r="D6" t="s">
        <v>292</v>
      </c>
      <c r="E6" s="6">
        <f>Calc_Tables!B4</f>
        <v>51.666666666666671</v>
      </c>
    </row>
    <row r="7" spans="1:5" x14ac:dyDescent="0.25">
      <c r="A7" t="str">
        <f>Calc_Tables!A6</f>
        <v>Total Estimated Cost Impact ($)</v>
      </c>
      <c r="B7" s="7">
        <f>Calc_Tables!B6</f>
        <v>164235.38000000003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BOM_Error_Data</vt:lpstr>
      <vt:lpstr>Revision_Change_Log</vt:lpstr>
      <vt:lpstr>KPI_Summary</vt:lpstr>
      <vt:lpstr>Pivot_Error_Type</vt:lpstr>
      <vt:lpstr>Pivot_Stage</vt:lpstr>
      <vt:lpstr>Pivot_Monthly_Trend</vt:lpstr>
      <vt:lpstr>Calc_Tables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Yengkong Sayaovong</cp:lastModifiedBy>
  <dcterms:created xsi:type="dcterms:W3CDTF">2026-02-16T12:35:04Z</dcterms:created>
  <dcterms:modified xsi:type="dcterms:W3CDTF">2026-02-16T12:49:05Z</dcterms:modified>
</cp:coreProperties>
</file>